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Function Tracker" sheetId="2" r:id="rId4"/>
    <sheet state="visible" name="Shortcuts" sheetId="3" r:id="rId5"/>
    <sheet state="visible" name="Section One -----&gt;" sheetId="4" r:id="rId6"/>
    <sheet state="visible" name="Lecture One What is a Spreadshe" sheetId="5" r:id="rId7"/>
    <sheet state="visible" name="Lecture Two Data Types" sheetId="6" r:id="rId8"/>
    <sheet state="visible" name="Lecture Three Navigating Spread" sheetId="7" r:id="rId9"/>
    <sheet state="visible" name="Lecture Four Formatting your Sp" sheetId="8" r:id="rId10"/>
  </sheets>
  <definedNames/>
  <calcPr/>
</workbook>
</file>

<file path=xl/sharedStrings.xml><?xml version="1.0" encoding="utf-8"?>
<sst xmlns="http://schemas.openxmlformats.org/spreadsheetml/2006/main" count="762" uniqueCount="608">
  <si>
    <t>Tab Name</t>
  </si>
  <si>
    <t>Description</t>
  </si>
  <si>
    <t>Function Tracker</t>
  </si>
  <si>
    <t>This is where you can keep track of the functions we are learning as we go along. Feel read the definitions of some of the later functions!</t>
  </si>
  <si>
    <t>Shortcuts</t>
  </si>
  <si>
    <t>This sheet will follow you to all our spreadsheet sections. This is a reference sheet in case you forget some of the many shortcuts that exist in Google sheets!</t>
  </si>
  <si>
    <r>
      <rPr>
        <rFont val="Quicksand"/>
        <b/>
      </rPr>
      <t>Lecture One:</t>
    </r>
    <r>
      <rPr>
        <rFont val="Quicksand"/>
      </rPr>
      <t xml:space="preserve"> What is a Spreadsheet</t>
    </r>
  </si>
  <si>
    <t>What is a spreasheet? This tab will provide you with definitions of some basic spreasheet terminology. No need to refer to this after lecture one.</t>
  </si>
  <si>
    <r>
      <rPr>
        <rFont val="Quicksand"/>
        <b/>
      </rPr>
      <t>Lecture Two:</t>
    </r>
    <r>
      <rPr>
        <rFont val="Quicksand"/>
      </rPr>
      <t xml:space="preserve"> Data Types</t>
    </r>
  </si>
  <si>
    <t>Learn about data types in Google Spreadsheet!</t>
  </si>
  <si>
    <r>
      <rPr>
        <rFont val="Quicksand"/>
        <b/>
      </rPr>
      <t>Lecture Three:</t>
    </r>
    <r>
      <rPr>
        <rFont val="Quicksand"/>
      </rPr>
      <t xml:space="preserve"> Navigating Spreadsheets</t>
    </r>
  </si>
  <si>
    <t>This tab provides you with a list of my favorite shortcuts, as well as some data to try out some shortcuts on. I nested some interseting challenges to activate your imagination for spreadsheets.</t>
  </si>
  <si>
    <t>Copyright: SanSone Partners</t>
  </si>
  <si>
    <t>Counter</t>
  </si>
  <si>
    <t>Index</t>
  </si>
  <si>
    <t>Function</t>
  </si>
  <si>
    <t>Numbers</t>
  </si>
  <si>
    <t>SUM</t>
  </si>
  <si>
    <t>Returns the sum of a series of numbers and/or cells.</t>
  </si>
  <si>
    <t>AVERAGE</t>
  </si>
  <si>
    <t>Returns the numerical average value in a dataset, ignoring text.</t>
  </si>
  <si>
    <t>PRODUCT</t>
  </si>
  <si>
    <t>Returns the result of multiplying a series of numbers together.</t>
  </si>
  <si>
    <t>QUOTIENT</t>
  </si>
  <si>
    <t>Returns one number divided by another.</t>
  </si>
  <si>
    <t>COUNT</t>
  </si>
  <si>
    <t xml:space="preserve">Returns a count of the number of numeric values in a dataset. </t>
  </si>
  <si>
    <t>MIN</t>
  </si>
  <si>
    <t>Returns the minimum value in a numeric dataset.</t>
  </si>
  <si>
    <t>MAX</t>
  </si>
  <si>
    <t>Returns the maximum value in a numeric dataset.</t>
  </si>
  <si>
    <t>IF</t>
  </si>
  <si>
    <t>Returns one value if a logical expression is `TRUE` and another if it is `FALSE`.</t>
  </si>
  <si>
    <t>OR</t>
  </si>
  <si>
    <t>Returns a conditional sum across a range.</t>
  </si>
  <si>
    <t>AND</t>
  </si>
  <si>
    <t>Returns the sum of a range depending on multiple criteria.</t>
  </si>
  <si>
    <t>SUMIF</t>
  </si>
  <si>
    <t>Returns the average of a range depending on criteria.</t>
  </si>
  <si>
    <t>SUMIFS</t>
  </si>
  <si>
    <t>Returns the average of a range depending on multiple criteria.</t>
  </si>
  <si>
    <t>AVERAGEIF</t>
  </si>
  <si>
    <t>Returns the minimum value in a range of cells, filtered by a set of criteria.</t>
  </si>
  <si>
    <t>AVERAGEIFS</t>
  </si>
  <si>
    <t>Returns the maximum value in a range of cells, filtered by a set of criteria.</t>
  </si>
  <si>
    <t>COUNTIF</t>
  </si>
  <si>
    <t>Rounds a number down to the nearest integer multiple of specified significance.</t>
  </si>
  <si>
    <t>COUNTIFS</t>
  </si>
  <si>
    <t>Rounds a number up to the nearest integer multiple of specified significance.</t>
  </si>
  <si>
    <t>COUNTUNIQUE</t>
  </si>
  <si>
    <t>Rounds a number to a certain number of decimal places according to standard rules.</t>
  </si>
  <si>
    <t>MINIFS</t>
  </si>
  <si>
    <t>Calculates the sum of the products of corresponding entries in two equal-sized arrays or ranges.</t>
  </si>
  <si>
    <t>MAXIFS</t>
  </si>
  <si>
    <t>Returns a random number between 0 inclusive and 1 exclusive.</t>
  </si>
  <si>
    <t>IFERROR</t>
  </si>
  <si>
    <t>Returns a uniformly random integer between two values, inclusive.</t>
  </si>
  <si>
    <t>FLOOR</t>
  </si>
  <si>
    <t>Returns the content of a cell, specified by row and column offset. Learn more</t>
  </si>
  <si>
    <t>CEILING</t>
  </si>
  <si>
    <t>Returns the relative position of an item in a range that matches a specified value.</t>
  </si>
  <si>
    <t>ROUND</t>
  </si>
  <si>
    <t>Vertical lookup. Searches down the first column of a range for a key and returns the value of a specified cell in the row found.</t>
  </si>
  <si>
    <t>SUMPRODUCT</t>
  </si>
  <si>
    <t>Horizontal lookup. Searches across the first row of a range for a key and returns the value of a specified cell in the column found.</t>
  </si>
  <si>
    <t>RAND</t>
  </si>
  <si>
    <t>Imports a range of cells from a specified spreadsheet.</t>
  </si>
  <si>
    <t>RANDBETWEEN</t>
  </si>
  <si>
    <t>Runs a Google Visualization API Query Language query across data.</t>
  </si>
  <si>
    <t>Text</t>
  </si>
  <si>
    <t>CONCATENATE</t>
  </si>
  <si>
    <t>Returns a filtered version of the source range, returning only rows or columns which meet the specified conditions.</t>
  </si>
  <si>
    <t>SPLIT</t>
  </si>
  <si>
    <t>Returns the first argument if it is not an error value, otherwise returns the second argument if present, or a blank if the second argument is absent.</t>
  </si>
  <si>
    <t>JOIN</t>
  </si>
  <si>
    <t>Appends strings to one another.</t>
  </si>
  <si>
    <t>LEFT</t>
  </si>
  <si>
    <t>Divides text around a specified character or string, and puts each fragment into a separate cell in the row.</t>
  </si>
  <si>
    <t>RIGHT</t>
  </si>
  <si>
    <t>Concatenates the elements of one or more one-dimensional arrays using a specified delimiter.</t>
  </si>
  <si>
    <t>LEN</t>
  </si>
  <si>
    <t>Returns a substring from the beginning of a specified string.</t>
  </si>
  <si>
    <t>Search</t>
  </si>
  <si>
    <t>INDEX</t>
  </si>
  <si>
    <t>Returns a substring from the end of a specified string.</t>
  </si>
  <si>
    <t>MATCH</t>
  </si>
  <si>
    <t>Returns the length of a string.</t>
  </si>
  <si>
    <t>VLOOKUP</t>
  </si>
  <si>
    <t xml:space="preserve">Translates text from one language into another </t>
  </si>
  <si>
    <t>HLOOKUP</t>
  </si>
  <si>
    <t xml:space="preserve">Fetches current or historical securities information from Google Finance. </t>
  </si>
  <si>
    <t>Google</t>
  </si>
  <si>
    <t>GOOGLETRANSLATE</t>
  </si>
  <si>
    <t xml:space="preserve">Returns the current date as a date value. </t>
  </si>
  <si>
    <t>GOOGLEFINANCE</t>
  </si>
  <si>
    <t>Enables the display of values returned from an array formula into multiple rows and/or columns and the use of non-array functions with arrays.</t>
  </si>
  <si>
    <t>Date</t>
  </si>
  <si>
    <t>TODAY</t>
  </si>
  <si>
    <t>Returns a conditional count across a range.</t>
  </si>
  <si>
    <t>HOUR</t>
  </si>
  <si>
    <t xml:space="preserve">Returns the count of a range depending on multiple criteria. </t>
  </si>
  <si>
    <t>MINUTE</t>
  </si>
  <si>
    <t>Counts the number of unique values in a list of specified values and ranges.</t>
  </si>
  <si>
    <t>MONTH</t>
  </si>
  <si>
    <t>Returns the hour component of a specific time, in numeric format.</t>
  </si>
  <si>
    <t>WEEKDAY</t>
  </si>
  <si>
    <t xml:space="preserve">Returns the minute component of a specific time, in numeric format. </t>
  </si>
  <si>
    <t>WEEKNUM</t>
  </si>
  <si>
    <t xml:space="preserve">Returns the month of the year a specific date falls in, in numeric format. </t>
  </si>
  <si>
    <t>EDATE</t>
  </si>
  <si>
    <t xml:space="preserve">Returns a number representing the day of the week of the date provided. </t>
  </si>
  <si>
    <t>TEXT</t>
  </si>
  <si>
    <t>Returns a number representing the week of the year where the provided date falls.</t>
  </si>
  <si>
    <t>Misc</t>
  </si>
  <si>
    <t>SORT</t>
  </si>
  <si>
    <t>Returns a date a specified number of months before or after another date.</t>
  </si>
  <si>
    <t>UNIQUE</t>
  </si>
  <si>
    <t>Converts a number into text according to a specified format.</t>
  </si>
  <si>
    <t>HYPERLINK</t>
  </si>
  <si>
    <t>Sorts the rows of a given array or range by the values in one or more columns.</t>
  </si>
  <si>
    <t>FILTER</t>
  </si>
  <si>
    <t>Returns unique rows in the provided source range, discarding duplicates. Rows are returned in the order in which they first appear in the source range.</t>
  </si>
  <si>
    <t>QUERY</t>
  </si>
  <si>
    <t>Returns true if any of the provided arguments are logically true, and false if all of the provided arguments are logically false.</t>
  </si>
  <si>
    <t>ARRAYFORMULA</t>
  </si>
  <si>
    <t>Returns true if all of the provided arguments are logically true, and false if any of the provided arguments are logically false.</t>
  </si>
  <si>
    <t>IMPORTRANGE</t>
  </si>
  <si>
    <t>Creates a hyperlink inside a cell.</t>
  </si>
  <si>
    <t>Google Sheets Shortcuts!</t>
  </si>
  <si>
    <t>COMPUTER TYPE</t>
  </si>
  <si>
    <t>Shortcut Resources!</t>
  </si>
  <si>
    <t>Command to Search ---&gt;</t>
  </si>
  <si>
    <t>Apply top border</t>
  </si>
  <si>
    <t>PC</t>
  </si>
  <si>
    <t>Command Description</t>
  </si>
  <si>
    <t>Mac</t>
  </si>
  <si>
    <t>Show common keyboard shortcuts</t>
  </si>
  <si>
    <t>⌘ + /</t>
  </si>
  <si>
    <t>Move to beginning of sheet</t>
  </si>
  <si>
    <t>⌘ + Fn + Left arrow</t>
  </si>
  <si>
    <t>Move to end of row</t>
  </si>
  <si>
    <t>⌘ + Directional Arrows</t>
  </si>
  <si>
    <t>Move to next sheet</t>
  </si>
  <si>
    <t>⌘ + Shift + Fn + Down arrow</t>
  </si>
  <si>
    <t>Move to previous sheet</t>
  </si>
  <si>
    <t>⌘ + Shift + Fn + Up arrow</t>
  </si>
  <si>
    <t>Fill down</t>
  </si>
  <si>
    <t>⌘ + d</t>
  </si>
  <si>
    <t>Fill right</t>
  </si>
  <si>
    <t>⌘ + r</t>
  </si>
  <si>
    <t>Paste</t>
  </si>
  <si>
    <t>⌘ + v</t>
  </si>
  <si>
    <t>Paste values only</t>
  </si>
  <si>
    <t>⌘ + Shift + v</t>
  </si>
  <si>
    <t>Paste format only</t>
  </si>
  <si>
    <t>⌘ + Option + v</t>
  </si>
  <si>
    <t>Ctrl + Alt + v</t>
  </si>
  <si>
    <t>Find</t>
  </si>
  <si>
    <t>⌘ + f</t>
  </si>
  <si>
    <t>Find and replace</t>
  </si>
  <si>
    <t>⌘ + Shift + h</t>
  </si>
  <si>
    <t>Undo</t>
  </si>
  <si>
    <t>⌘ + z</t>
  </si>
  <si>
    <t>Redo</t>
  </si>
  <si>
    <t>⌘ + y
⌘ + Shift + z
Fn + F4</t>
  </si>
  <si>
    <t>Bold</t>
  </si>
  <si>
    <t>⌘ + b</t>
  </si>
  <si>
    <t>Center align</t>
  </si>
  <si>
    <t>⌘ + Shift + e</t>
  </si>
  <si>
    <t>Left align</t>
  </si>
  <si>
    <t>⌘ + Shift + l</t>
  </si>
  <si>
    <t>Right align</t>
  </si>
  <si>
    <t>⌘ + Shift + r</t>
  </si>
  <si>
    <t>Apply bottom border</t>
  </si>
  <si>
    <t>Option + Shift + 3</t>
  </si>
  <si>
    <t>Apply outer border</t>
  </si>
  <si>
    <t>Option + Shift + 7
⌘ + Shift + 7</t>
  </si>
  <si>
    <t>Remove borders</t>
  </si>
  <si>
    <t>Option + Shift + 6</t>
  </si>
  <si>
    <t>Insert link</t>
  </si>
  <si>
    <t>⌘ + k</t>
  </si>
  <si>
    <t>Format as decimal</t>
  </si>
  <si>
    <t>Ctrl + Shift + 1</t>
  </si>
  <si>
    <t>Format as time</t>
  </si>
  <si>
    <t>Ctrl + Shift + 2</t>
  </si>
  <si>
    <t>Format as date</t>
  </si>
  <si>
    <t>Ctrl + Shift + 3</t>
  </si>
  <si>
    <t>Format as currency</t>
  </si>
  <si>
    <t>Ctrl + Shift + 4</t>
  </si>
  <si>
    <t>Format as percentage</t>
  </si>
  <si>
    <t>Ctrl + Shift + 5</t>
  </si>
  <si>
    <t>Clear formatting</t>
  </si>
  <si>
    <t>⌘ + \</t>
  </si>
  <si>
    <t>Display list of sheets</t>
  </si>
  <si>
    <t>Option + Shift + k</t>
  </si>
  <si>
    <t>Group rows or columns</t>
  </si>
  <si>
    <t>Option + Shift + Right arrow</t>
  </si>
  <si>
    <t>Ungroup rows or columns</t>
  </si>
  <si>
    <t>Option + Shift + Left arrow</t>
  </si>
  <si>
    <t>Common actions</t>
  </si>
  <si>
    <t>Select column</t>
  </si>
  <si>
    <t>Ctrl + Space</t>
  </si>
  <si>
    <t>Select row</t>
  </si>
  <si>
    <t>Shift + Space</t>
  </si>
  <si>
    <t>Select all</t>
  </si>
  <si>
    <t>⌘ + a
⌘ + Shift + Space</t>
  </si>
  <si>
    <t>Ctrl + a
Ctrl + Shift + Space</t>
  </si>
  <si>
    <t>Ctrl + z</t>
  </si>
  <si>
    <t>Ctrl + y
Ctrl + Shift + z
F4</t>
  </si>
  <si>
    <t>Ctrl + f</t>
  </si>
  <si>
    <t>Ctrl + h</t>
  </si>
  <si>
    <t>Fill range</t>
  </si>
  <si>
    <t>⌘ + Enter</t>
  </si>
  <si>
    <t>Ctrl + Enter</t>
  </si>
  <si>
    <t>Ctrl + d</t>
  </si>
  <si>
    <t>Ctrl + r</t>
  </si>
  <si>
    <t>Save
(every change is saved automatically in Drive)</t>
  </si>
  <si>
    <t>⌘ + s</t>
  </si>
  <si>
    <t>Ctrl + s</t>
  </si>
  <si>
    <t>Open</t>
  </si>
  <si>
    <t>⌘ + o</t>
  </si>
  <si>
    <t>Ctrl + o</t>
  </si>
  <si>
    <t>Print</t>
  </si>
  <si>
    <t>⌘ + p</t>
  </si>
  <si>
    <t>Ctrl + p</t>
  </si>
  <si>
    <t>Copy</t>
  </si>
  <si>
    <t>⌘ + c</t>
  </si>
  <si>
    <t>Ctrl + c</t>
  </si>
  <si>
    <t>Cut</t>
  </si>
  <si>
    <t>⌘ + x</t>
  </si>
  <si>
    <t>Ctrl + x</t>
  </si>
  <si>
    <t>Ctrl + v</t>
  </si>
  <si>
    <t>Ctrl + Shift + v</t>
  </si>
  <si>
    <t>Ctrl + /</t>
  </si>
  <si>
    <t>Compact controls</t>
  </si>
  <si>
    <t>Ctrl + Shift + f</t>
  </si>
  <si>
    <t>Shift + F11</t>
  </si>
  <si>
    <t>Input tools on/off
(available in spreadsheets in non-Latin languages)</t>
  </si>
  <si>
    <t>⌘ + Shift + k</t>
  </si>
  <si>
    <t>Select input tools</t>
  </si>
  <si>
    <t>⌘ + Option + Shift + k</t>
  </si>
  <si>
    <t>Ctrl + Shift + k</t>
  </si>
  <si>
    <t>Ctrl + Alt + Shift + k</t>
  </si>
  <si>
    <t>Format cells</t>
  </si>
  <si>
    <t>Ctrl + b</t>
  </si>
  <si>
    <t>Underline</t>
  </si>
  <si>
    <t>⌘ + u</t>
  </si>
  <si>
    <t>Ctrl + u</t>
  </si>
  <si>
    <t>Italic</t>
  </si>
  <si>
    <t>⌘ + i</t>
  </si>
  <si>
    <t>Ctrl + i</t>
  </si>
  <si>
    <t>Strikethrough</t>
  </si>
  <si>
    <t>Option + Shift + 5</t>
  </si>
  <si>
    <t>Alt + Shift + 5</t>
  </si>
  <si>
    <t>Ctrl + Shift + e</t>
  </si>
  <si>
    <t>Ctrl + Shift + l</t>
  </si>
  <si>
    <t>Ctrl + Shift + r</t>
  </si>
  <si>
    <t>Option + Shift + 1</t>
  </si>
  <si>
    <t>Alt + Shift + 1</t>
  </si>
  <si>
    <t>Apply right border</t>
  </si>
  <si>
    <t>Option + Shift + 2</t>
  </si>
  <si>
    <t>Alt + Shift + 2</t>
  </si>
  <si>
    <t>Alt + Shift + 3</t>
  </si>
  <si>
    <t>Apply left border</t>
  </si>
  <si>
    <t>Option + Shift + 4</t>
  </si>
  <si>
    <t>Alt + Shift + 4</t>
  </si>
  <si>
    <t>Alt + Shift + 6</t>
  </si>
  <si>
    <t>Alt + Shift + 7
Ctrl + Shift + 7</t>
  </si>
  <si>
    <t>Ctrl + k</t>
  </si>
  <si>
    <t>Insert time</t>
  </si>
  <si>
    <t>⌘ + Shift + ;</t>
  </si>
  <si>
    <t>Ctrl + Shift + ;</t>
  </si>
  <si>
    <t>Insert date</t>
  </si>
  <si>
    <t>⌘ + ;</t>
  </si>
  <si>
    <t>Ctrl + ;</t>
  </si>
  <si>
    <t>Insert date and time</t>
  </si>
  <si>
    <t>⌘ + Option + Shift + ;</t>
  </si>
  <si>
    <t>Ctrl + Alt + Shift + ;</t>
  </si>
  <si>
    <t>Format as exponent</t>
  </si>
  <si>
    <t>Ctrl + Shift + 6</t>
  </si>
  <si>
    <t>Ctrl + \</t>
  </si>
  <si>
    <t>Navigate spreadsheet</t>
  </si>
  <si>
    <t>Move to beginning of row</t>
  </si>
  <si>
    <t>Fn + Left arrow</t>
  </si>
  <si>
    <t>Home</t>
  </si>
  <si>
    <t>Ctrl + Home</t>
  </si>
  <si>
    <t>Fn + Right arrow</t>
  </si>
  <si>
    <t>End</t>
  </si>
  <si>
    <t>Move to end of sheet</t>
  </si>
  <si>
    <t>⌘ + Fn + Right arrow</t>
  </si>
  <si>
    <t>Ctrl + End</t>
  </si>
  <si>
    <t>Scroll to active cell</t>
  </si>
  <si>
    <t>⌘ + Backspace</t>
  </si>
  <si>
    <t>Ctrl + Backspace</t>
  </si>
  <si>
    <t>Ctrl + Shift + Page Down</t>
  </si>
  <si>
    <t>Ctrl + Shift + Page Up</t>
  </si>
  <si>
    <t>Alt + Shift + k</t>
  </si>
  <si>
    <t>Open hyperlink</t>
  </si>
  <si>
    <t>Option + Enter</t>
  </si>
  <si>
    <t>Alt + Enter</t>
  </si>
  <si>
    <t>Open Explore</t>
  </si>
  <si>
    <t>Option + Shift + x</t>
  </si>
  <si>
    <t>Alt + Shift + x</t>
  </si>
  <si>
    <t>Move focus out of spreadsheet</t>
  </si>
  <si>
    <t>Ctrl + ⌘ + Shift + m</t>
  </si>
  <si>
    <t>Ctrl + Alt + Shift + m</t>
  </si>
  <si>
    <t>Move to quicksum
(when a range of cells is selected)</t>
  </si>
  <si>
    <t>Option + Shift + q</t>
  </si>
  <si>
    <t>Alt + Shift + q</t>
  </si>
  <si>
    <t>Move focus to popup
(for links, bookmarks, and images)</t>
  </si>
  <si>
    <t>holding Ctrl + ⌘, press e then p</t>
  </si>
  <si>
    <t>holding Ctrl + Alt, press e then p</t>
  </si>
  <si>
    <t>Open drop-down menu on filtered cell</t>
  </si>
  <si>
    <t>Ctrl + ⌘ + r</t>
  </si>
  <si>
    <t>Ctrl + Alt + r</t>
  </si>
  <si>
    <t>Open revision history</t>
  </si>
  <si>
    <t>⌘ + Option + Shift + h</t>
  </si>
  <si>
    <t>Ctrl + Alt + Shift + h</t>
  </si>
  <si>
    <t>Open chat inside the spreadsheet</t>
  </si>
  <si>
    <t>Shift + Esc</t>
  </si>
  <si>
    <t>Close drawing editor</t>
  </si>
  <si>
    <t>⌘ + Esc
Shift + Esc</t>
  </si>
  <si>
    <t>Edit notes and comments</t>
  </si>
  <si>
    <t>Insert/edit note</t>
  </si>
  <si>
    <t>Shift + F2</t>
  </si>
  <si>
    <t>Insert/edit comment</t>
  </si>
  <si>
    <t>⌘ + Option + m</t>
  </si>
  <si>
    <t>Ctrl + Alt + m</t>
  </si>
  <si>
    <t>Open comment discussion thread</t>
  </si>
  <si>
    <t>⌘ + Option + Shift + a</t>
  </si>
  <si>
    <t>Ctrl + Alt + Shift + a</t>
  </si>
  <si>
    <t>Enter current comment</t>
  </si>
  <si>
    <t>holding Ctrl + ⌘, press e then c</t>
  </si>
  <si>
    <t>holding Ctrl + Alt, press e then c</t>
  </si>
  <si>
    <t>Move to next comment</t>
  </si>
  <si>
    <t>holding Ctrl + ⌘, press n then c</t>
  </si>
  <si>
    <t>holding Ctrl + Alt, press n then c</t>
  </si>
  <si>
    <t>Move to previous comment</t>
  </si>
  <si>
    <t>holding Ctrl + ⌘, press p then c</t>
  </si>
  <si>
    <t>holding Ctrl + Alt, press p then c</t>
  </si>
  <si>
    <t>Open a menu</t>
  </si>
  <si>
    <t>File menu</t>
  </si>
  <si>
    <t>Ctrl + Option + f</t>
  </si>
  <si>
    <t>in Google Chrome: Alt + f
other browsers: Alt + Shift + f</t>
  </si>
  <si>
    <t>Edit menu</t>
  </si>
  <si>
    <t>Ctrl + Option + e</t>
  </si>
  <si>
    <t>in Google Chrome: Alt + e
other browsers: Alt + Shift + e</t>
  </si>
  <si>
    <t>View menu</t>
  </si>
  <si>
    <t>Ctrl + Option + v</t>
  </si>
  <si>
    <t>in Google Chrome: Alt + v
other browsers: Alt + Shift + v</t>
  </si>
  <si>
    <t>Insert menu</t>
  </si>
  <si>
    <t>Ctrl + Option + i</t>
  </si>
  <si>
    <t>in Google Chrome: Alt + i
other browsers: Alt + Shift + i</t>
  </si>
  <si>
    <t>Format menu</t>
  </si>
  <si>
    <t>Ctrl + Option + o</t>
  </si>
  <si>
    <t>in Google Chrome: Alt + o
other browsers: Alt + Shift + o</t>
  </si>
  <si>
    <t>Data menu</t>
  </si>
  <si>
    <t>Ctrl + Option + d</t>
  </si>
  <si>
    <t>in Google Chrome: Alt + d
other browsers: Alt + Shift + d</t>
  </si>
  <si>
    <t>Tools menu</t>
  </si>
  <si>
    <t>Ctrl + Option + t</t>
  </si>
  <si>
    <t>in Google Chrome: Alt + t
other browsers: Alt + Shift + t</t>
  </si>
  <si>
    <t>Open insert menu</t>
  </si>
  <si>
    <t>⌘ + Option + = (with cells selected)</t>
  </si>
  <si>
    <t>Ctrl + Alt + Shift + = Ctrl + Alt + = 
(with cells selected)</t>
  </si>
  <si>
    <t>Open delete menu</t>
  </si>
  <si>
    <t>⌘ + Option + - (with cells selected)</t>
  </si>
  <si>
    <t>Ctrl + Alt + - (with cells selected)</t>
  </si>
  <si>
    <t>Form menu
(present when the spreadsheet is connected to a form)</t>
  </si>
  <si>
    <t>Ctrl + Option + m</t>
  </si>
  <si>
    <t>in Google Chrome: Alt + m
other browsers: Alt + Shift + m</t>
  </si>
  <si>
    <t>Add-ons menu</t>
  </si>
  <si>
    <t>Ctrl + Option + n</t>
  </si>
  <si>
    <t>in Google Chrome: Alt + n
other browsers: Alt + Shift + n</t>
  </si>
  <si>
    <t>Help menu</t>
  </si>
  <si>
    <t>Ctrl + Option + h</t>
  </si>
  <si>
    <t>in Google Chrome: Alt + h
other browsers: Alt + Shift + h</t>
  </si>
  <si>
    <t>Accessibility menu
(present when screen reader support is enabled)</t>
  </si>
  <si>
    <t>Ctrl + Option + a</t>
  </si>
  <si>
    <t>in Google Chrome: Alt + a
other browsers: Alt + Shift + a</t>
  </si>
  <si>
    <t>Sheet menu
(copy, delete, and other sheet actions)</t>
  </si>
  <si>
    <t>Option + Shift + s</t>
  </si>
  <si>
    <t>Alt + Shift + s</t>
  </si>
  <si>
    <t>Context menu</t>
  </si>
  <si>
    <t>⌘ + Shift + \</t>
  </si>
  <si>
    <t>Ctrl + Shift + \</t>
  </si>
  <si>
    <t>Add or change rows and columns</t>
  </si>
  <si>
    <t>Insert rows above</t>
  </si>
  <si>
    <t>⌘ + Option + = (with rows selected)
Ctrl + Option + i, then r</t>
  </si>
  <si>
    <t>Ctrl + Alt + Shift + = Ctrl + Alt + =
(with rows selected)
in Google Chrome: Alt + i, then r
other browsers: Alt + Shift + i, then r</t>
  </si>
  <si>
    <t>Insert rows below</t>
  </si>
  <si>
    <t>Ctrl + Option + i, then b</t>
  </si>
  <si>
    <t>in Google Chrome: Alt + i, then w
other browsers: Alt + Shift + i, then w</t>
  </si>
  <si>
    <t>Insert columns to the left</t>
  </si>
  <si>
    <t>⌘ + Option + = (with columns selected)
Ctrl + Option + i, then c</t>
  </si>
  <si>
    <t>Ctrl + Alt + Shift + = Ctrl + Alt + = 
(with columns selected)
in Google Chrome: Alt + i, then c
other browsers: Alt + Shift + i, then c</t>
  </si>
  <si>
    <t>Insert columns to the right</t>
  </si>
  <si>
    <t>Ctrl + Option + i, then o</t>
  </si>
  <si>
    <t>in Google Chrome: Alt + i, then o
other browsers: Alt + Shift + i, then o</t>
  </si>
  <si>
    <t>Delete rows</t>
  </si>
  <si>
    <t>⌘ + Option + - (with rows selected)
Ctrl + Option + e, then d</t>
  </si>
  <si>
    <t>Ctrl + Alt + - (with rows selected)
in Google Chrome: Alt + e, then d
other browsers: Alt + Shift + e, then d</t>
  </si>
  <si>
    <t>Delete columns</t>
  </si>
  <si>
    <t>⌘ + Option + - (with columns selected)
Ctrl + Option + e, then e</t>
  </si>
  <si>
    <t>Ctrl + Alt + - (with columns selected)
in Google Chrome: Alt + e, then e
other browsers: Alt + Shift + e, then e</t>
  </si>
  <si>
    <t>Hide row</t>
  </si>
  <si>
    <t>⌘ + Option + 9</t>
  </si>
  <si>
    <t>Ctrl + Alt + 9</t>
  </si>
  <si>
    <t>Hide column</t>
  </si>
  <si>
    <t>⌘ + Option + 0</t>
  </si>
  <si>
    <t>Ctrl + Alt + 0</t>
  </si>
  <si>
    <t>Ctrl + Shift + 9</t>
  </si>
  <si>
    <t>Ctrl + Shift + 0</t>
  </si>
  <si>
    <t>Expand grouped rows or columns</t>
  </si>
  <si>
    <t>Option + Shift + Down arrow</t>
  </si>
  <si>
    <t>Alt + Shift + Right arrow</t>
  </si>
  <si>
    <t>Collapse grouped rows or columns</t>
  </si>
  <si>
    <t>Option + Shift + Up arrow</t>
  </si>
  <si>
    <t>Alt + Shift + Left arrow</t>
  </si>
  <si>
    <t>Alt + Shift + Down arrow</t>
  </si>
  <si>
    <t>Alt + Shift + Up arrow</t>
  </si>
  <si>
    <t>Use formulas</t>
  </si>
  <si>
    <t>Show all formulas</t>
  </si>
  <si>
    <t>Ctrl + ~</t>
  </si>
  <si>
    <t>Insert array formula</t>
  </si>
  <si>
    <t>⌘ + Shift + Enter</t>
  </si>
  <si>
    <t>Ctrl + Shift + Enter</t>
  </si>
  <si>
    <t>Collapse an expanded array formula</t>
  </si>
  <si>
    <t>⌘ + e</t>
  </si>
  <si>
    <t>Ctrl + e</t>
  </si>
  <si>
    <t>Show/hide formula help
(when entering a formula)</t>
  </si>
  <si>
    <t>Shift + Fn + F1</t>
  </si>
  <si>
    <t>Shift + F1</t>
  </si>
  <si>
    <t>Full/compact formula help
(when entering a formula)</t>
  </si>
  <si>
    <t>Fn + F1</t>
  </si>
  <si>
    <t>F1</t>
  </si>
  <si>
    <t>Absolute/relative references
(when entering a formula)</t>
  </si>
  <si>
    <t>Fn + F4</t>
  </si>
  <si>
    <t>F4</t>
  </si>
  <si>
    <t>Toggle formula result previews
(when entering a formula)</t>
  </si>
  <si>
    <t>Fn + F9</t>
  </si>
  <si>
    <t>F9</t>
  </si>
  <si>
    <t>Resize formula bar
(move up or down)</t>
  </si>
  <si>
    <t>Ctrl + Option + Up and Ctrl + Option + Down</t>
  </si>
  <si>
    <t>Ctrl + Up / Ctrl + Down</t>
  </si>
  <si>
    <t>Help for screen readers</t>
  </si>
  <si>
    <t>Turn on screen reader support
Learn more about using Google Sheets with a screen reader</t>
  </si>
  <si>
    <t>⌘ + Option + z</t>
  </si>
  <si>
    <t>Ctrl + Alt + z</t>
  </si>
  <si>
    <t>Read column</t>
  </si>
  <si>
    <t>⌘ + Option + Shift + c</t>
  </si>
  <si>
    <t>Ctrl + Alt + Shift + c</t>
  </si>
  <si>
    <t>Read row</t>
  </si>
  <si>
    <t>⌘ + Option + Shift + r</t>
  </si>
  <si>
    <t>Ctrl + Alt + Shift + r</t>
  </si>
  <si>
    <t>Cells</t>
  </si>
  <si>
    <r>
      <rPr>
        <rFont val="Source Sans Pro"/>
        <sz val="12.0"/>
      </rPr>
      <t xml:space="preserve">Cell </t>
    </r>
    <r>
      <rPr>
        <rFont val="Source Sans Pro"/>
        <b/>
        <sz val="12.0"/>
      </rPr>
      <t>B2</t>
    </r>
  </si>
  <si>
    <r>
      <rPr>
        <rFont val="Source Sans Pro"/>
        <sz val="12.0"/>
      </rPr>
      <t xml:space="preserve">Cell </t>
    </r>
    <r>
      <rPr>
        <rFont val="Source Sans Pro"/>
        <b/>
        <sz val="12.0"/>
      </rPr>
      <t>L5</t>
    </r>
  </si>
  <si>
    <r>
      <rPr>
        <rFont val="Source Sans Pro"/>
        <sz val="12.0"/>
      </rPr>
      <t xml:space="preserve">Cell </t>
    </r>
    <r>
      <rPr>
        <rFont val="Source Sans Pro"/>
        <b/>
        <sz val="12.0"/>
      </rPr>
      <t>G7</t>
    </r>
  </si>
  <si>
    <t>Vertical 
&amp; 
Horizontal Ranges</t>
  </si>
  <si>
    <r>
      <rPr>
        <rFont val="Source Sans Pro"/>
        <sz val="12.0"/>
      </rPr>
      <t xml:space="preserve">Vertical Range 
</t>
    </r>
    <r>
      <rPr>
        <rFont val="Source Sans Pro"/>
        <b/>
        <sz val="12.0"/>
      </rPr>
      <t>B12:B21</t>
    </r>
  </si>
  <si>
    <r>
      <rPr>
        <rFont val="Source Sans Pro"/>
        <b val="0"/>
        <sz val="12.0"/>
      </rPr>
      <t xml:space="preserve">Horizontal Range
</t>
    </r>
    <r>
      <rPr>
        <rFont val="Source Sans Pro"/>
        <b/>
        <sz val="12.0"/>
      </rPr>
      <t>D12:L12</t>
    </r>
  </si>
  <si>
    <t xml:space="preserve"> </t>
  </si>
  <si>
    <t>General Ranges</t>
  </si>
  <si>
    <r>
      <rPr>
        <rFont val="Source Sans Pro"/>
        <sz val="12.0"/>
      </rPr>
      <t xml:space="preserve">Range
 </t>
    </r>
    <r>
      <rPr>
        <rFont val="Source Sans Pro"/>
        <b/>
        <sz val="12.0"/>
      </rPr>
      <t>B25:L34</t>
    </r>
  </si>
  <si>
    <r>
      <rPr>
        <rFont val="Quicksand"/>
        <b/>
        <sz val="14.0"/>
      </rPr>
      <t xml:space="preserve">Labels
</t>
    </r>
    <r>
      <rPr>
        <rFont val="Quicksand"/>
        <b val="0"/>
        <sz val="14.0"/>
      </rPr>
      <t>Strings | 
non-numeric</t>
    </r>
  </si>
  <si>
    <t>Names</t>
  </si>
  <si>
    <t>Quarters</t>
  </si>
  <si>
    <t>Months</t>
  </si>
  <si>
    <t>Andrew</t>
  </si>
  <si>
    <t>Q1</t>
  </si>
  <si>
    <t>January</t>
  </si>
  <si>
    <t>Elvis</t>
  </si>
  <si>
    <t>Q2</t>
  </si>
  <si>
    <t>June</t>
  </si>
  <si>
    <t>Jimi</t>
  </si>
  <si>
    <t>Q3</t>
  </si>
  <si>
    <t>April</t>
  </si>
  <si>
    <t>Dave</t>
  </si>
  <si>
    <t>Q4</t>
  </si>
  <si>
    <t>August</t>
  </si>
  <si>
    <r>
      <rPr>
        <rFont val="Quicksand"/>
        <b/>
        <sz val="14.0"/>
      </rPr>
      <t xml:space="preserve">Values
</t>
    </r>
    <r>
      <rPr>
        <rFont val="Quicksand"/>
        <b val="0"/>
        <sz val="14.0"/>
      </rPr>
      <t>Numbers | 
Dates | 
Currencies</t>
    </r>
  </si>
  <si>
    <t>Amount Paid</t>
  </si>
  <si>
    <t>Dates</t>
  </si>
  <si>
    <t>INPUTS</t>
  </si>
  <si>
    <r>
      <rPr>
        <rFont val="Quicksand"/>
        <b/>
        <sz val="14.0"/>
      </rPr>
      <t xml:space="preserve">Formulas
</t>
    </r>
    <r>
      <rPr>
        <rFont val="Quicksand"/>
        <b val="0"/>
        <sz val="14.0"/>
      </rPr>
      <t>Combinations
of
Functions</t>
    </r>
  </si>
  <si>
    <t>Formula 1</t>
  </si>
  <si>
    <t>Formula 2</t>
  </si>
  <si>
    <t>Formula 3</t>
  </si>
  <si>
    <t>b</t>
  </si>
  <si>
    <t>Sample Range 1</t>
  </si>
  <si>
    <t>Sample Range 2</t>
  </si>
  <si>
    <t>Change the range
below [O4:O103] to %</t>
  </si>
  <si>
    <t>Change the range
below [P4:P103] to $</t>
  </si>
  <si>
    <t>Bold the title below!</t>
  </si>
  <si>
    <t>HINT: (Shift+CTRL+5)</t>
  </si>
  <si>
    <t>HINT: (Shift +CTRL+4)</t>
  </si>
  <si>
    <t>Add a Bottom Border!</t>
  </si>
  <si>
    <t>Evan's Useful Shortcuts! For Reference.</t>
  </si>
  <si>
    <t>Order</t>
  </si>
  <si>
    <t># of Dumplings</t>
  </si>
  <si>
    <t>Cost</t>
  </si>
  <si>
    <t>Tip</t>
  </si>
  <si>
    <t>Total</t>
  </si>
  <si>
    <t>Price per Dumpling</t>
  </si>
  <si>
    <t>Order 1</t>
  </si>
  <si>
    <t>Order 2</t>
  </si>
  <si>
    <t>Order 3</t>
  </si>
  <si>
    <t>Order 4</t>
  </si>
  <si>
    <t>Order 5</t>
  </si>
  <si>
    <t>Order 6</t>
  </si>
  <si>
    <t>Order 7</t>
  </si>
  <si>
    <t>Order 8</t>
  </si>
  <si>
    <t>Order 9</t>
  </si>
  <si>
    <t>Order 10</t>
  </si>
  <si>
    <t>Try cut and pasting the</t>
  </si>
  <si>
    <t>range on your right into</t>
  </si>
  <si>
    <t>cell G14!</t>
  </si>
  <si>
    <t>Order 11</t>
  </si>
  <si>
    <t>Order 12</t>
  </si>
  <si>
    <t>Order 13</t>
  </si>
  <si>
    <t>Order 14</t>
  </si>
  <si>
    <t>Order 15</t>
  </si>
  <si>
    <t>Order 16</t>
  </si>
  <si>
    <t>Order 17</t>
  </si>
  <si>
    <t>Order 18</t>
  </si>
  <si>
    <t>Order 19</t>
  </si>
  <si>
    <t>Order 20</t>
  </si>
  <si>
    <t>Order 21</t>
  </si>
  <si>
    <t>Order 22</t>
  </si>
  <si>
    <t>Order 23</t>
  </si>
  <si>
    <t>Order 24</t>
  </si>
  <si>
    <t>Order 25</t>
  </si>
  <si>
    <t>Order 26</t>
  </si>
  <si>
    <t>Order 27</t>
  </si>
  <si>
    <t>Order 28</t>
  </si>
  <si>
    <t>Order 29</t>
  </si>
  <si>
    <t>Order 30</t>
  </si>
  <si>
    <t>Order 31</t>
  </si>
  <si>
    <t>Order 32</t>
  </si>
  <si>
    <t>Order 33</t>
  </si>
  <si>
    <t>Order 34</t>
  </si>
  <si>
    <t>Order 35</t>
  </si>
  <si>
    <t>Order 36</t>
  </si>
  <si>
    <t>Order 37</t>
  </si>
  <si>
    <t>Order 38</t>
  </si>
  <si>
    <t>Order 39</t>
  </si>
  <si>
    <t>Order 40</t>
  </si>
  <si>
    <t>Order 41</t>
  </si>
  <si>
    <t>Order 42</t>
  </si>
  <si>
    <t>Order 43</t>
  </si>
  <si>
    <t>Order 44</t>
  </si>
  <si>
    <t>Order 45</t>
  </si>
  <si>
    <t>Order 46</t>
  </si>
  <si>
    <t>Order 47</t>
  </si>
  <si>
    <t>Order 48</t>
  </si>
  <si>
    <t>Order 49</t>
  </si>
  <si>
    <t>Order 50</t>
  </si>
  <si>
    <t>Order 51</t>
  </si>
  <si>
    <t>Order 52</t>
  </si>
  <si>
    <t>Order 53</t>
  </si>
  <si>
    <t>Order 54</t>
  </si>
  <si>
    <t>Order 55</t>
  </si>
  <si>
    <t>Order 56</t>
  </si>
  <si>
    <t>Order 57</t>
  </si>
  <si>
    <t>Order 58</t>
  </si>
  <si>
    <t>Order 59</t>
  </si>
  <si>
    <t>Order 60</t>
  </si>
  <si>
    <t>Order 61</t>
  </si>
  <si>
    <t>Order 62</t>
  </si>
  <si>
    <t>Order 63</t>
  </si>
  <si>
    <t>Order 64</t>
  </si>
  <si>
    <t>Order 65</t>
  </si>
  <si>
    <t>Order 66</t>
  </si>
  <si>
    <t>Order 67</t>
  </si>
  <si>
    <t>Order 68</t>
  </si>
  <si>
    <t>Order 69</t>
  </si>
  <si>
    <t>Order 70</t>
  </si>
  <si>
    <t>Order 71</t>
  </si>
  <si>
    <t>Order 72</t>
  </si>
  <si>
    <t>Order 73</t>
  </si>
  <si>
    <t>Order 74</t>
  </si>
  <si>
    <t>Order 75</t>
  </si>
  <si>
    <t>Order 76</t>
  </si>
  <si>
    <t>Order 77</t>
  </si>
  <si>
    <t>Order 78</t>
  </si>
  <si>
    <t>Order 79</t>
  </si>
  <si>
    <t>Order 80</t>
  </si>
  <si>
    <t>Order 81</t>
  </si>
  <si>
    <t>Order 82</t>
  </si>
  <si>
    <t>Order 83</t>
  </si>
  <si>
    <t>Order 84</t>
  </si>
  <si>
    <t>Order 85</t>
  </si>
  <si>
    <t>Order 86</t>
  </si>
  <si>
    <t>Order 87</t>
  </si>
  <si>
    <t>Order 88</t>
  </si>
  <si>
    <t>Order 89</t>
  </si>
  <si>
    <t>Order 90</t>
  </si>
  <si>
    <t>Order 91</t>
  </si>
  <si>
    <t>Order 92</t>
  </si>
  <si>
    <t>Order 93</t>
  </si>
  <si>
    <t>Order 94</t>
  </si>
  <si>
    <t>Order 95</t>
  </si>
  <si>
    <t>Order 96</t>
  </si>
  <si>
    <t>Order 97</t>
  </si>
  <si>
    <t>Order 98</t>
  </si>
  <si>
    <t>Order 99</t>
  </si>
  <si>
    <t>Order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</si>
</sst>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m/yyyy"/>
    <numFmt numFmtId="167" formatCode="m/d/yyyy"/>
    <numFmt numFmtId="168" formatCode="&quot;$&quot;#,##0"/>
  </numFmts>
  <fonts count="26">
    <font>
      <sz val="10.0"/>
      <color rgb="FF000000"/>
      <name val="Arial"/>
    </font>
    <font>
      <b/>
      <i/>
      <name val="Quicksand"/>
    </font>
    <font>
      <name val="Quicksand"/>
    </font>
    <font>
      <b/>
      <name val="Quicksand"/>
    </font>
    <font>
      <b/>
      <sz val="7.0"/>
      <name val="Quicksand"/>
    </font>
    <font>
      <b/>
      <name val="Source Sans Pro"/>
    </font>
    <font>
      <name val="Source Sans Pro"/>
    </font>
    <font>
      <b/>
      <sz val="14.0"/>
      <name val="Quicksand"/>
    </font>
    <font>
      <name val="Arial"/>
    </font>
    <font>
      <b/>
      <u/>
      <sz val="11.0"/>
      <color rgb="FF0000FF"/>
      <name val="Quicksand"/>
    </font>
    <font>
      <b/>
      <u/>
      <sz val="11.0"/>
      <color rgb="FF0000FF"/>
      <name val="Quicksand"/>
    </font>
    <font>
      <b/>
      <color rgb="FF212121"/>
      <name val="Quicksand"/>
    </font>
    <font>
      <color rgb="FF212121"/>
      <name val="Quicksand"/>
    </font>
    <font>
      <b/>
      <sz val="11.0"/>
      <name val="Quicksand"/>
    </font>
    <font>
      <b/>
      <color rgb="FFFFFFFF"/>
      <name val="Quicksand"/>
    </font>
    <font>
      <b/>
      <u/>
      <color rgb="FF212121"/>
      <name val="Quicksand"/>
    </font>
    <font/>
    <font>
      <b/>
      <sz val="18.0"/>
      <name val="Source Sans Pro"/>
    </font>
    <font>
      <sz val="12.0"/>
      <name val="Source Sans Pro"/>
    </font>
    <font>
      <b/>
      <sz val="12.0"/>
      <name val="Source Sans Pro"/>
    </font>
    <font>
      <color rgb="FF1155CC"/>
      <name val="Quicksand"/>
    </font>
    <font>
      <b/>
      <sz val="14.0"/>
      <name val="Source Sans Pro"/>
    </font>
    <font>
      <b/>
      <sz val="12.0"/>
      <name val="Quicksand"/>
    </font>
    <font>
      <b/>
      <color rgb="FF212121"/>
      <name val="Source Sans Pro"/>
    </font>
    <font>
      <color rgb="FF212121"/>
      <name val="Source Sans Pro"/>
    </font>
    <font>
      <b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</fills>
  <borders count="21">
    <border/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1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readingOrder="0" vertical="center"/>
    </xf>
    <xf borderId="3" fillId="0" fontId="2" numFmtId="0" xfId="0" applyAlignment="1" applyBorder="1" applyFont="1">
      <alignment vertical="center"/>
    </xf>
    <xf borderId="4" fillId="2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5" fillId="3" fontId="11" numFmtId="0" xfId="0" applyAlignment="1" applyBorder="1" applyFill="1" applyFont="1">
      <alignment horizontal="left" readingOrder="0" vertical="top"/>
    </xf>
    <xf borderId="5" fillId="3" fontId="12" numFmtId="0" xfId="0" applyAlignment="1" applyBorder="1" applyFont="1">
      <alignment horizontal="left" readingOrder="0" vertical="top"/>
    </xf>
    <xf borderId="0" fillId="0" fontId="13" numFmtId="0" xfId="0" applyFont="1"/>
    <xf borderId="0" fillId="0" fontId="13" numFmtId="0" xfId="0" applyAlignment="1" applyFont="1">
      <alignment readingOrder="0"/>
    </xf>
    <xf borderId="5" fillId="3" fontId="12" numFmtId="164" xfId="0" applyAlignment="1" applyBorder="1" applyFont="1" applyNumberFormat="1">
      <alignment horizontal="left" readingOrder="0" vertical="top"/>
    </xf>
    <xf borderId="5" fillId="3" fontId="11" numFmtId="164" xfId="0" applyAlignment="1" applyBorder="1" applyFont="1" applyNumberFormat="1">
      <alignment horizontal="left" readingOrder="0" vertical="top"/>
    </xf>
    <xf borderId="0" fillId="3" fontId="11" numFmtId="0" xfId="0" applyAlignment="1" applyFont="1">
      <alignment horizontal="left" readingOrder="0" vertical="top"/>
    </xf>
    <xf borderId="0" fillId="3" fontId="12" numFmtId="0" xfId="0" applyAlignment="1" applyFont="1">
      <alignment horizontal="left" readingOrder="0" vertical="top"/>
    </xf>
    <xf borderId="0" fillId="3" fontId="11" numFmtId="164" xfId="0" applyAlignment="1" applyFont="1" applyNumberFormat="1">
      <alignment horizontal="left" readingOrder="0" vertical="top"/>
    </xf>
    <xf borderId="0" fillId="3" fontId="12" numFmtId="164" xfId="0" applyAlignment="1" applyFont="1" applyNumberFormat="1">
      <alignment horizontal="left" readingOrder="0" vertical="top"/>
    </xf>
    <xf borderId="0" fillId="0" fontId="13" numFmtId="0" xfId="0" applyAlignment="1" applyFont="1">
      <alignment horizontal="center" readingOrder="0"/>
    </xf>
    <xf borderId="0" fillId="4" fontId="14" numFmtId="0" xfId="0" applyAlignment="1" applyFill="1" applyFont="1">
      <alignment horizontal="left" readingOrder="0"/>
    </xf>
    <xf borderId="0" fillId="0" fontId="3" numFmtId="0" xfId="0" applyFont="1"/>
    <xf borderId="5" fillId="3" fontId="15" numFmtId="0" xfId="0" applyAlignment="1" applyBorder="1" applyFont="1">
      <alignment horizontal="left" readingOrder="0" vertical="top"/>
    </xf>
    <xf borderId="0" fillId="0" fontId="16" numFmtId="0" xfId="0" applyFont="1"/>
    <xf borderId="0" fillId="0" fontId="17" numFmtId="0" xfId="0" applyAlignment="1" applyFont="1">
      <alignment horizontal="center" readingOrder="0" vertical="center"/>
    </xf>
    <xf borderId="6" fillId="5" fontId="18" numFmtId="0" xfId="0" applyAlignment="1" applyBorder="1" applyFill="1" applyFont="1">
      <alignment horizontal="center" readingOrder="0"/>
    </xf>
    <xf borderId="0" fillId="6" fontId="16" numFmtId="0" xfId="0" applyFill="1" applyFont="1"/>
    <xf borderId="0" fillId="6" fontId="6" numFmtId="0" xfId="0" applyFont="1"/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7" fillId="5" fontId="6" numFmtId="0" xfId="0" applyAlignment="1" applyBorder="1" applyFont="1">
      <alignment horizontal="center"/>
    </xf>
    <xf borderId="8" fillId="5" fontId="6" numFmtId="0" xfId="0" applyBorder="1" applyFont="1"/>
    <xf borderId="9" fillId="5" fontId="6" numFmtId="0" xfId="0" applyBorder="1" applyFont="1"/>
    <xf borderId="10" fillId="5" fontId="6" numFmtId="0" xfId="0" applyAlignment="1" applyBorder="1" applyFont="1">
      <alignment readingOrder="0"/>
    </xf>
    <xf borderId="11" fillId="5" fontId="6" numFmtId="0" xfId="0" applyAlignment="1" applyBorder="1" applyFont="1">
      <alignment horizontal="center"/>
    </xf>
    <xf borderId="12" fillId="5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13" fillId="5" fontId="6" numFmtId="0" xfId="0" applyAlignment="1" applyBorder="1" applyFont="1">
      <alignment horizontal="center"/>
    </xf>
    <xf borderId="14" fillId="5" fontId="6" numFmtId="0" xfId="0" applyAlignment="1" applyBorder="1" applyFont="1">
      <alignment horizontal="center"/>
    </xf>
    <xf borderId="15" fillId="5" fontId="6" numFmtId="0" xfId="0" applyAlignment="1" applyBorder="1" applyFont="1">
      <alignment horizontal="center"/>
    </xf>
    <xf borderId="16" fillId="5" fontId="6" numFmtId="0" xfId="0" applyAlignment="1" applyBorder="1" applyFont="1">
      <alignment horizontal="center"/>
    </xf>
    <xf borderId="0" fillId="5" fontId="6" numFmtId="0" xfId="0" applyAlignment="1" applyFont="1">
      <alignment horizontal="center"/>
    </xf>
    <xf borderId="17" fillId="5" fontId="6" numFmtId="0" xfId="0" applyAlignment="1" applyBorder="1" applyFont="1">
      <alignment horizontal="center"/>
    </xf>
    <xf borderId="18" fillId="5" fontId="6" numFmtId="0" xfId="0" applyAlignment="1" applyBorder="1" applyFont="1">
      <alignment horizontal="center"/>
    </xf>
    <xf borderId="5" fillId="5" fontId="6" numFmtId="0" xfId="0" applyAlignment="1" applyBorder="1" applyFont="1">
      <alignment horizontal="center"/>
    </xf>
    <xf borderId="19" fillId="5" fontId="6" numFmtId="0" xfId="0" applyAlignment="1" applyBorder="1" applyFont="1">
      <alignment horizontal="center"/>
    </xf>
    <xf borderId="0" fillId="0" fontId="7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7" fontId="16" numFmtId="0" xfId="0" applyFill="1" applyFont="1"/>
    <xf borderId="0" fillId="7" fontId="2" numFmtId="0" xfId="0" applyFont="1"/>
    <xf borderId="0" fillId="0" fontId="20" numFmtId="165" xfId="0" applyAlignment="1" applyFont="1" applyNumberFormat="1">
      <alignment horizontal="left" readingOrder="0"/>
    </xf>
    <xf borderId="0" fillId="0" fontId="20" numFmtId="166" xfId="0" applyAlignment="1" applyFont="1" applyNumberFormat="1">
      <alignment horizontal="left" readingOrder="0"/>
    </xf>
    <xf borderId="0" fillId="0" fontId="20" numFmtId="167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0" numFmtId="0" xfId="0" applyFont="1"/>
    <xf borderId="0" fillId="0" fontId="2" numFmtId="3" xfId="0" applyAlignment="1" applyFont="1" applyNumberFormat="1">
      <alignment horizontal="left"/>
    </xf>
    <xf borderId="0" fillId="0" fontId="2" numFmtId="168" xfId="0" applyAlignment="1" applyFont="1" applyNumberFormat="1">
      <alignment horizontal="left"/>
    </xf>
    <xf borderId="1" fillId="0" fontId="19" numFmtId="0" xfId="0" applyAlignment="1" applyBorder="1" applyFont="1">
      <alignment readingOrder="0"/>
    </xf>
    <xf borderId="1" fillId="0" fontId="6" numFmtId="0" xfId="0" applyBorder="1" applyFont="1"/>
    <xf borderId="0" fillId="8" fontId="6" numFmtId="0" xfId="0" applyFill="1" applyFont="1"/>
    <xf borderId="0" fillId="0" fontId="21" numFmtId="0" xfId="0" applyAlignment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9" fontId="5" numFmtId="0" xfId="0" applyAlignment="1" applyFont="1">
      <alignment readingOrder="0"/>
    </xf>
    <xf borderId="20" fillId="0" fontId="22" numFmtId="0" xfId="0" applyAlignment="1" applyBorder="1" applyFont="1">
      <alignment horizontal="center" readingOrder="0"/>
    </xf>
    <xf borderId="1" fillId="0" fontId="16" numFmtId="0" xfId="0" applyBorder="1" applyFont="1"/>
    <xf borderId="1" fillId="0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right" readingOrder="0"/>
    </xf>
    <xf borderId="1" fillId="0" fontId="5" numFmtId="165" xfId="0" applyAlignment="1" applyBorder="1" applyFont="1" applyNumberFormat="1">
      <alignment horizontal="right" readingOrder="0"/>
    </xf>
    <xf borderId="1" fillId="0" fontId="5" numFmtId="10" xfId="0" applyAlignment="1" applyBorder="1" applyFont="1" applyNumberFormat="1">
      <alignment horizontal="center" readingOrder="0"/>
    </xf>
    <xf borderId="0" fillId="2" fontId="6" numFmtId="165" xfId="0" applyAlignment="1" applyFont="1" applyNumberFormat="1">
      <alignment horizontal="right"/>
    </xf>
    <xf borderId="0" fillId="2" fontId="6" numFmtId="10" xfId="0" applyAlignment="1" applyFont="1" applyNumberFormat="1">
      <alignment horizontal="center" readingOrder="0"/>
    </xf>
    <xf borderId="0" fillId="2" fontId="6" numFmtId="165" xfId="0" applyFont="1" applyNumberFormat="1"/>
    <xf borderId="0" fillId="0" fontId="6" numFmtId="165" xfId="0" applyAlignment="1" applyFont="1" applyNumberFormat="1">
      <alignment horizontal="center" readingOrder="0"/>
    </xf>
    <xf borderId="0" fillId="3" fontId="23" numFmtId="0" xfId="0" applyAlignment="1" applyFont="1">
      <alignment horizontal="left" readingOrder="0" vertical="top"/>
    </xf>
    <xf borderId="0" fillId="3" fontId="24" numFmtId="0" xfId="0" applyAlignment="1" applyFont="1">
      <alignment horizontal="left" readingOrder="0" vertical="top"/>
    </xf>
    <xf borderId="0" fillId="3" fontId="24" numFmtId="164" xfId="0" applyAlignment="1" applyFont="1" applyNumberFormat="1">
      <alignment horizontal="left" readingOrder="0" vertical="top"/>
    </xf>
    <xf borderId="0" fillId="3" fontId="23" numFmtId="164" xfId="0" applyAlignment="1" applyFont="1" applyNumberFormat="1">
      <alignment horizontal="left" readingOrder="0" vertical="top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center"/>
    </xf>
    <xf borderId="0" fillId="2" fontId="6" numFmtId="0" xfId="0" applyFont="1"/>
    <xf borderId="0" fillId="0" fontId="16" numFmtId="165" xfId="0" applyFont="1" applyNumberFormat="1"/>
    <xf borderId="0" fillId="0" fontId="5" numFmtId="0" xfId="0" applyAlignment="1" applyFont="1">
      <alignment readingOrder="0"/>
    </xf>
    <xf borderId="1" fillId="0" fontId="25" numFmtId="0" xfId="0" applyAlignment="1" applyBorder="1" applyFont="1">
      <alignment horizontal="right" readingOrder="0"/>
    </xf>
    <xf borderId="1" fillId="0" fontId="25" numFmtId="0" xfId="0" applyAlignment="1" applyBorder="1" applyFont="1">
      <alignment horizontal="center" readingOrder="0"/>
    </xf>
    <xf borderId="1" fillId="0" fontId="25" numFmtId="165" xfId="0" applyAlignment="1" applyBorder="1" applyFont="1" applyNumberFormat="1">
      <alignment horizontal="left" readingOrder="0"/>
    </xf>
    <xf borderId="1" fillId="0" fontId="25" numFmtId="10" xfId="0" applyAlignment="1" applyBorder="1" applyFont="1" applyNumberFormat="1">
      <alignment horizontal="left" readingOrder="0"/>
    </xf>
    <xf borderId="0" fillId="0" fontId="16" numFmtId="0" xfId="0" applyAlignment="1" applyFont="1">
      <alignment horizontal="right" readingOrder="0"/>
    </xf>
    <xf borderId="0" fillId="0" fontId="16" numFmtId="0" xfId="0" applyAlignment="1" applyFont="1">
      <alignment horizontal="right"/>
    </xf>
    <xf borderId="0" fillId="0" fontId="16" numFmtId="0" xfId="0" applyAlignment="1" applyFont="1">
      <alignment horizontal="center"/>
    </xf>
    <xf borderId="0" fillId="0" fontId="16" numFmtId="165" xfId="0" applyAlignment="1" applyFont="1" applyNumberFormat="1">
      <alignment horizontal="left"/>
    </xf>
    <xf borderId="0" fillId="0" fontId="16" numFmtId="10" xfId="0" applyAlignment="1" applyFont="1" applyNumberFormat="1">
      <alignment horizontal="left" readingOrder="0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left" readingOrder="0"/>
    </xf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10</xdr:row>
      <xdr:rowOff>190500</xdr:rowOff>
    </xdr:from>
    <xdr:ext cx="342900" cy="790575"/>
    <xdr:sp>
      <xdr:nvSpPr>
        <xdr:cNvPr id="3" name="Shape 3"/>
        <xdr:cNvSpPr/>
      </xdr:nvSpPr>
      <xdr:spPr>
        <a:xfrm>
          <a:off x="4324350" y="1295400"/>
          <a:ext cx="323700" cy="1200300"/>
        </a:xfrm>
        <a:prstGeom prst="rightBrace">
          <a:avLst>
            <a:gd fmla="val 61782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docs/answer/163219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9.88"/>
    <col customWidth="1" min="3" max="3" width="48.0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 t="s">
        <v>2</v>
      </c>
      <c r="C2" s="6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B3" s="5" t="s">
        <v>4</v>
      </c>
      <c r="C3" s="7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/>
      <c r="B4" s="8" t="s">
        <v>6</v>
      </c>
      <c r="C4" s="7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/>
      <c r="B5" s="8" t="s">
        <v>8</v>
      </c>
      <c r="C5" s="7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/>
      <c r="B6" s="8" t="s">
        <v>10</v>
      </c>
      <c r="C6" s="7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/>
      <c r="B7" s="9"/>
      <c r="C7" s="1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/>
      <c r="B8" s="9"/>
      <c r="C8" s="10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/>
      <c r="B9" s="11"/>
      <c r="C9" s="1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/>
      <c r="B10" s="11"/>
      <c r="C10" s="1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/>
      <c r="B11" s="11"/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/>
      <c r="B12" s="11"/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/>
      <c r="B13" s="11"/>
      <c r="C13" s="1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/>
      <c r="B14" s="11"/>
      <c r="C14" s="1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 t="s">
        <v>12</v>
      </c>
      <c r="B15" s="11"/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75"/>
    <col customWidth="1" min="3" max="3" width="103.0"/>
  </cols>
  <sheetData>
    <row r="1">
      <c r="A1" s="13" t="str">
        <f>IFERROR(__xludf.DUMMYFUNCTION("QUERY($W:$Y,""SELECT * WHERE W &lt;= ""&amp;E2&amp;"""",-1)"),"Index")</f>
        <v>Index</v>
      </c>
      <c r="B1" s="14" t="str">
        <f>IFERROR(__xludf.DUMMYFUNCTION("""COMPUTED_VALUE"""),"Function")</f>
        <v>Function</v>
      </c>
      <c r="C1" s="15" t="str">
        <f>IFERROR(__xludf.DUMMYFUNCTION("""COMPUTED_VALUE"""),"Description")</f>
        <v>Description</v>
      </c>
      <c r="E1" s="16" t="s">
        <v>13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3" t="s">
        <v>14</v>
      </c>
      <c r="X1" s="14" t="s">
        <v>15</v>
      </c>
      <c r="Y1" s="15" t="s">
        <v>1</v>
      </c>
      <c r="Z1" s="17"/>
    </row>
    <row r="2">
      <c r="A2" s="18">
        <f>IFERROR(__xludf.DUMMYFUNCTION("""COMPUTED_VALUE"""),1.0)</f>
        <v>1</v>
      </c>
      <c r="B2" s="19" t="str">
        <f>IFERROR(__xludf.DUMMYFUNCTION("""COMPUTED_VALUE"""),"SUM")</f>
        <v>SUM</v>
      </c>
      <c r="C2" s="20" t="str">
        <f>IFERROR(__xludf.DUMMYFUNCTION("""COMPUTED_VALUE"""),"Returns the sum of a series of numbers and/or cells.")</f>
        <v>Returns the sum of a series of numbers and/or cells.</v>
      </c>
      <c r="E2" s="21">
        <v>1.0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22" t="s">
        <v>16</v>
      </c>
      <c r="W2" s="18">
        <v>1.0</v>
      </c>
      <c r="X2" s="19" t="s">
        <v>17</v>
      </c>
      <c r="Y2" s="20" t="s">
        <v>18</v>
      </c>
      <c r="Z2" s="17"/>
    </row>
    <row r="3">
      <c r="A3" s="18"/>
      <c r="B3" s="19"/>
      <c r="C3" s="20"/>
      <c r="D3" s="17"/>
      <c r="E3" s="22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22" t="s">
        <v>16</v>
      </c>
      <c r="W3" s="18">
        <v>2.0</v>
      </c>
      <c r="X3" s="19" t="s">
        <v>19</v>
      </c>
      <c r="Y3" s="20" t="s">
        <v>20</v>
      </c>
      <c r="Z3" s="17"/>
    </row>
    <row r="4">
      <c r="A4" s="18"/>
      <c r="B4" s="19"/>
      <c r="C4" s="20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22" t="s">
        <v>16</v>
      </c>
      <c r="W4" s="18">
        <v>3.0</v>
      </c>
      <c r="X4" s="19" t="s">
        <v>21</v>
      </c>
      <c r="Y4" s="20" t="s">
        <v>22</v>
      </c>
      <c r="Z4" s="17"/>
    </row>
    <row r="5">
      <c r="A5" s="18"/>
      <c r="B5" s="19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22" t="s">
        <v>16</v>
      </c>
      <c r="W5" s="18">
        <v>4.0</v>
      </c>
      <c r="X5" s="19" t="s">
        <v>23</v>
      </c>
      <c r="Y5" s="20" t="s">
        <v>24</v>
      </c>
      <c r="Z5" s="17"/>
    </row>
    <row r="6">
      <c r="A6" s="18"/>
      <c r="B6" s="19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22" t="s">
        <v>16</v>
      </c>
      <c r="W6" s="18">
        <v>5.0</v>
      </c>
      <c r="X6" s="23" t="s">
        <v>25</v>
      </c>
      <c r="Y6" s="24" t="s">
        <v>26</v>
      </c>
      <c r="Z6" s="17"/>
    </row>
    <row r="7">
      <c r="A7" s="18"/>
      <c r="B7" s="19"/>
      <c r="C7" s="20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22" t="s">
        <v>16</v>
      </c>
      <c r="W7" s="18">
        <v>6.0</v>
      </c>
      <c r="X7" s="25" t="s">
        <v>27</v>
      </c>
      <c r="Y7" s="26" t="s">
        <v>28</v>
      </c>
      <c r="Z7" s="17"/>
    </row>
    <row r="8">
      <c r="A8" s="18"/>
      <c r="B8" s="19"/>
      <c r="C8" s="20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22" t="s">
        <v>16</v>
      </c>
      <c r="W8" s="18">
        <v>7.0</v>
      </c>
      <c r="X8" s="23" t="s">
        <v>29</v>
      </c>
      <c r="Y8" s="26" t="s">
        <v>30</v>
      </c>
      <c r="Z8" s="17"/>
    </row>
    <row r="9">
      <c r="A9" s="18"/>
      <c r="B9" s="19"/>
      <c r="C9" s="20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22" t="s">
        <v>16</v>
      </c>
      <c r="W9" s="18">
        <v>8.0</v>
      </c>
      <c r="X9" s="23" t="s">
        <v>31</v>
      </c>
      <c r="Y9" s="27" t="s">
        <v>32</v>
      </c>
      <c r="Z9" s="17"/>
    </row>
    <row r="10">
      <c r="A10" s="28"/>
      <c r="B10" s="25"/>
      <c r="C10" s="2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 t="s">
        <v>16</v>
      </c>
      <c r="W10" s="28">
        <v>9.0</v>
      </c>
      <c r="X10" s="23" t="s">
        <v>33</v>
      </c>
      <c r="Y10" s="20" t="s">
        <v>34</v>
      </c>
      <c r="Z10" s="17"/>
    </row>
    <row r="11">
      <c r="A11" s="22"/>
      <c r="B11" s="23"/>
      <c r="C11" s="2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2" t="s">
        <v>16</v>
      </c>
      <c r="W11" s="22">
        <v>10.0</v>
      </c>
      <c r="X11" s="23" t="s">
        <v>35</v>
      </c>
      <c r="Y11" s="20" t="s">
        <v>36</v>
      </c>
      <c r="Z11" s="17"/>
    </row>
    <row r="12">
      <c r="A12" s="22"/>
      <c r="B12" s="23"/>
      <c r="C12" s="2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22" t="s">
        <v>16</v>
      </c>
      <c r="W12" s="22">
        <v>11.0</v>
      </c>
      <c r="X12" s="19" t="s">
        <v>37</v>
      </c>
      <c r="Y12" s="20" t="s">
        <v>38</v>
      </c>
      <c r="Z12" s="17"/>
    </row>
    <row r="13">
      <c r="A13" s="22"/>
      <c r="B13" s="23"/>
      <c r="C13" s="2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2" t="s">
        <v>16</v>
      </c>
      <c r="W13" s="22">
        <v>12.0</v>
      </c>
      <c r="X13" s="19" t="s">
        <v>39</v>
      </c>
      <c r="Y13" s="20" t="s">
        <v>40</v>
      </c>
      <c r="Z13" s="17"/>
    </row>
    <row r="14">
      <c r="A14" s="22"/>
      <c r="B14" s="23"/>
      <c r="C14" s="2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2" t="s">
        <v>16</v>
      </c>
      <c r="W14" s="22">
        <v>13.0</v>
      </c>
      <c r="X14" s="19" t="s">
        <v>41</v>
      </c>
      <c r="Y14" s="27" t="s">
        <v>42</v>
      </c>
      <c r="Z14" s="17"/>
    </row>
    <row r="15">
      <c r="A15" s="22"/>
      <c r="B15" s="23"/>
      <c r="C15" s="2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2" t="s">
        <v>16</v>
      </c>
      <c r="W15" s="22">
        <v>14.0</v>
      </c>
      <c r="X15" s="19" t="s">
        <v>43</v>
      </c>
      <c r="Y15" s="27" t="s">
        <v>44</v>
      </c>
      <c r="Z15" s="17"/>
    </row>
    <row r="16">
      <c r="A16" s="22"/>
      <c r="B16" s="23"/>
      <c r="C16" s="2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22" t="s">
        <v>16</v>
      </c>
      <c r="W16" s="22">
        <v>15.0</v>
      </c>
      <c r="X16" s="23" t="s">
        <v>45</v>
      </c>
      <c r="Y16" s="27" t="s">
        <v>46</v>
      </c>
      <c r="Z16" s="17"/>
    </row>
    <row r="17">
      <c r="A17" s="22"/>
      <c r="B17" s="23"/>
      <c r="C17" s="2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22" t="s">
        <v>16</v>
      </c>
      <c r="W17" s="22">
        <v>16.0</v>
      </c>
      <c r="X17" s="23" t="s">
        <v>47</v>
      </c>
      <c r="Y17" s="27" t="s">
        <v>48</v>
      </c>
      <c r="Z17" s="17"/>
    </row>
    <row r="18">
      <c r="A18" s="22"/>
      <c r="B18" s="23"/>
      <c r="C18" s="2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22" t="s">
        <v>16</v>
      </c>
      <c r="W18" s="22">
        <v>17.0</v>
      </c>
      <c r="X18" s="23" t="s">
        <v>49</v>
      </c>
      <c r="Y18" s="27" t="s">
        <v>50</v>
      </c>
      <c r="Z18" s="17"/>
    </row>
    <row r="19">
      <c r="A19" s="22"/>
      <c r="B19" s="23"/>
      <c r="C19" s="2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22" t="s">
        <v>16</v>
      </c>
      <c r="W19" s="22">
        <v>18.0</v>
      </c>
      <c r="X19" s="23" t="s">
        <v>51</v>
      </c>
      <c r="Y19" s="27" t="s">
        <v>52</v>
      </c>
      <c r="Z19" s="17"/>
    </row>
    <row r="20">
      <c r="A20" s="22"/>
      <c r="B20" s="23"/>
      <c r="C20" s="2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2" t="s">
        <v>16</v>
      </c>
      <c r="W20" s="22">
        <v>19.0</v>
      </c>
      <c r="X20" s="23" t="s">
        <v>53</v>
      </c>
      <c r="Y20" s="26" t="s">
        <v>54</v>
      </c>
      <c r="Z20" s="17"/>
    </row>
    <row r="21">
      <c r="A21" s="22"/>
      <c r="B21" s="23"/>
      <c r="C21" s="2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2" t="s">
        <v>16</v>
      </c>
      <c r="W21" s="22">
        <v>20.0</v>
      </c>
      <c r="X21" s="23" t="s">
        <v>55</v>
      </c>
      <c r="Y21" s="26" t="s">
        <v>56</v>
      </c>
      <c r="Z21" s="17"/>
    </row>
    <row r="22">
      <c r="A22" s="22"/>
      <c r="B22" s="23"/>
      <c r="C22" s="2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2" t="s">
        <v>16</v>
      </c>
      <c r="W22" s="22">
        <v>21.0</v>
      </c>
      <c r="X22" s="23" t="s">
        <v>57</v>
      </c>
      <c r="Y22" s="27" t="s">
        <v>58</v>
      </c>
      <c r="Z22" s="17"/>
    </row>
    <row r="23">
      <c r="A23" s="22"/>
      <c r="B23" s="23"/>
      <c r="C23" s="2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22" t="s">
        <v>16</v>
      </c>
      <c r="W23" s="22">
        <v>22.0</v>
      </c>
      <c r="X23" s="23" t="s">
        <v>59</v>
      </c>
      <c r="Y23" s="27" t="s">
        <v>60</v>
      </c>
      <c r="Z23" s="17"/>
    </row>
    <row r="24">
      <c r="A24" s="22"/>
      <c r="B24" s="23"/>
      <c r="C24" s="2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22" t="s">
        <v>16</v>
      </c>
      <c r="W24" s="22">
        <v>23.0</v>
      </c>
      <c r="X24" s="23" t="s">
        <v>61</v>
      </c>
      <c r="Y24" s="27" t="s">
        <v>62</v>
      </c>
      <c r="Z24" s="17"/>
    </row>
    <row r="25">
      <c r="A25" s="22"/>
      <c r="B25" s="23"/>
      <c r="C25" s="2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22" t="s">
        <v>16</v>
      </c>
      <c r="W25" s="22">
        <v>24.0</v>
      </c>
      <c r="X25" s="23" t="s">
        <v>63</v>
      </c>
      <c r="Y25" s="27" t="s">
        <v>64</v>
      </c>
      <c r="Z25" s="17"/>
    </row>
    <row r="26">
      <c r="A26" s="22"/>
      <c r="B26" s="23"/>
      <c r="C26" s="2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22" t="s">
        <v>16</v>
      </c>
      <c r="W26" s="22">
        <v>25.0</v>
      </c>
      <c r="X26" s="23" t="s">
        <v>65</v>
      </c>
      <c r="Y26" s="26" t="s">
        <v>66</v>
      </c>
      <c r="Z26" s="17"/>
    </row>
    <row r="27">
      <c r="A27" s="22"/>
      <c r="B27" s="23"/>
      <c r="C27" s="2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22" t="s">
        <v>16</v>
      </c>
      <c r="W27" s="22">
        <v>26.0</v>
      </c>
      <c r="X27" s="23" t="s">
        <v>67</v>
      </c>
      <c r="Y27" s="26" t="s">
        <v>68</v>
      </c>
      <c r="Z27" s="17"/>
    </row>
    <row r="28">
      <c r="A28" s="22"/>
      <c r="B28" s="23"/>
      <c r="C28" s="2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22" t="s">
        <v>69</v>
      </c>
      <c r="W28" s="22">
        <v>27.0</v>
      </c>
      <c r="X28" s="23" t="s">
        <v>70</v>
      </c>
      <c r="Y28" s="27" t="s">
        <v>71</v>
      </c>
      <c r="Z28" s="17"/>
    </row>
    <row r="29">
      <c r="A29" s="22"/>
      <c r="B29" s="23"/>
      <c r="C29" s="2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22" t="s">
        <v>69</v>
      </c>
      <c r="W29" s="22">
        <v>28.0</v>
      </c>
      <c r="X29" s="23" t="s">
        <v>72</v>
      </c>
      <c r="Y29" s="27" t="s">
        <v>73</v>
      </c>
      <c r="Z29" s="17"/>
    </row>
    <row r="30">
      <c r="A30" s="22"/>
      <c r="B30" s="23"/>
      <c r="C30" s="2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22" t="s">
        <v>69</v>
      </c>
      <c r="W30" s="22">
        <v>29.0</v>
      </c>
      <c r="X30" s="23" t="s">
        <v>74</v>
      </c>
      <c r="Y30" s="26" t="s">
        <v>75</v>
      </c>
      <c r="Z30" s="17"/>
    </row>
    <row r="31">
      <c r="A31" s="22"/>
      <c r="B31" s="23"/>
      <c r="C31" s="2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22" t="s">
        <v>69</v>
      </c>
      <c r="W31" s="22">
        <v>30.0</v>
      </c>
      <c r="X31" s="23" t="s">
        <v>76</v>
      </c>
      <c r="Y31" s="27" t="s">
        <v>77</v>
      </c>
      <c r="Z31" s="17"/>
    </row>
    <row r="32">
      <c r="A32" s="22"/>
      <c r="B32" s="23"/>
      <c r="C32" s="2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22" t="s">
        <v>69</v>
      </c>
      <c r="W32" s="22">
        <v>31.0</v>
      </c>
      <c r="X32" s="23" t="s">
        <v>78</v>
      </c>
      <c r="Y32" s="27" t="s">
        <v>79</v>
      </c>
      <c r="Z32" s="17"/>
    </row>
    <row r="33">
      <c r="A33" s="22"/>
      <c r="B33" s="23"/>
      <c r="C33" s="2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2" t="s">
        <v>69</v>
      </c>
      <c r="W33" s="22">
        <v>32.0</v>
      </c>
      <c r="X33" s="23" t="s">
        <v>80</v>
      </c>
      <c r="Y33" s="26" t="s">
        <v>81</v>
      </c>
      <c r="Z33" s="17"/>
    </row>
    <row r="34">
      <c r="A34" s="22"/>
      <c r="B34" s="23"/>
      <c r="C34" s="2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2" t="s">
        <v>82</v>
      </c>
      <c r="W34" s="22">
        <v>33.0</v>
      </c>
      <c r="X34" s="23" t="s">
        <v>83</v>
      </c>
      <c r="Y34" s="26" t="s">
        <v>84</v>
      </c>
      <c r="Z34" s="17"/>
    </row>
    <row r="35">
      <c r="A35" s="22"/>
      <c r="B35" s="23"/>
      <c r="C35" s="24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22" t="s">
        <v>82</v>
      </c>
      <c r="W35" s="22">
        <v>34.0</v>
      </c>
      <c r="X35" s="23" t="s">
        <v>85</v>
      </c>
      <c r="Y35" s="26" t="s">
        <v>86</v>
      </c>
      <c r="Z35" s="17"/>
    </row>
    <row r="36">
      <c r="A36" s="22"/>
      <c r="B36" s="23"/>
      <c r="C36" s="24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22" t="s">
        <v>82</v>
      </c>
      <c r="W36" s="22">
        <v>35.0</v>
      </c>
      <c r="X36" s="23" t="s">
        <v>87</v>
      </c>
      <c r="Y36" s="24" t="s">
        <v>88</v>
      </c>
      <c r="Z36" s="17"/>
    </row>
    <row r="37">
      <c r="A37" s="22"/>
      <c r="B37" s="23"/>
      <c r="C37" s="24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2" t="s">
        <v>82</v>
      </c>
      <c r="W37" s="22">
        <v>36.0</v>
      </c>
      <c r="X37" s="23" t="s">
        <v>89</v>
      </c>
      <c r="Y37" s="24" t="s">
        <v>90</v>
      </c>
      <c r="Z37" s="17"/>
    </row>
    <row r="38">
      <c r="A38" s="22"/>
      <c r="B38" s="23"/>
      <c r="C38" s="24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22" t="s">
        <v>91</v>
      </c>
      <c r="W38" s="22">
        <v>37.0</v>
      </c>
      <c r="X38" s="23" t="s">
        <v>92</v>
      </c>
      <c r="Y38" s="24" t="s">
        <v>93</v>
      </c>
      <c r="Z38" s="17"/>
    </row>
    <row r="39">
      <c r="A39" s="22"/>
      <c r="B39" s="23"/>
      <c r="C39" s="24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2" t="s">
        <v>91</v>
      </c>
      <c r="W39" s="22">
        <v>38.0</v>
      </c>
      <c r="X39" s="23" t="s">
        <v>94</v>
      </c>
      <c r="Y39" s="24" t="s">
        <v>95</v>
      </c>
      <c r="Z39" s="17"/>
    </row>
    <row r="40">
      <c r="A40" s="22"/>
      <c r="B40" s="23"/>
      <c r="C40" s="24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22" t="s">
        <v>96</v>
      </c>
      <c r="W40" s="22">
        <v>39.0</v>
      </c>
      <c r="X40" s="23" t="s">
        <v>97</v>
      </c>
      <c r="Y40" s="24" t="s">
        <v>98</v>
      </c>
      <c r="Z40" s="17"/>
    </row>
    <row r="41">
      <c r="A41" s="22"/>
      <c r="B41" s="23"/>
      <c r="C41" s="24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22" t="s">
        <v>96</v>
      </c>
      <c r="W41" s="22">
        <v>40.0</v>
      </c>
      <c r="X41" s="23" t="s">
        <v>99</v>
      </c>
      <c r="Y41" s="24" t="s">
        <v>100</v>
      </c>
      <c r="Z41" s="17"/>
    </row>
    <row r="42">
      <c r="A42" s="22"/>
      <c r="B42" s="23"/>
      <c r="C42" s="24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22" t="s">
        <v>96</v>
      </c>
      <c r="W42" s="22">
        <v>41.0</v>
      </c>
      <c r="X42" s="23" t="s">
        <v>101</v>
      </c>
      <c r="Y42" s="22" t="s">
        <v>102</v>
      </c>
      <c r="Z42" s="17"/>
    </row>
    <row r="43">
      <c r="A43" s="22"/>
      <c r="B43" s="23"/>
      <c r="C43" s="24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22" t="s">
        <v>96</v>
      </c>
      <c r="W43" s="22">
        <v>42.0</v>
      </c>
      <c r="X43" s="23" t="s">
        <v>103</v>
      </c>
      <c r="Y43" s="24" t="s">
        <v>104</v>
      </c>
      <c r="Z43" s="17"/>
    </row>
    <row r="44">
      <c r="A44" s="22"/>
      <c r="B44" s="23"/>
      <c r="C44" s="2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22" t="s">
        <v>96</v>
      </c>
      <c r="W44" s="22">
        <v>43.0</v>
      </c>
      <c r="X44" s="23" t="s">
        <v>105</v>
      </c>
      <c r="Y44" s="24" t="s">
        <v>106</v>
      </c>
      <c r="Z44" s="17"/>
    </row>
    <row r="45">
      <c r="A45" s="22"/>
      <c r="B45" s="23"/>
      <c r="C45" s="24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22" t="s">
        <v>96</v>
      </c>
      <c r="W45" s="22">
        <v>44.0</v>
      </c>
      <c r="X45" s="23" t="s">
        <v>107</v>
      </c>
      <c r="Y45" s="24" t="s">
        <v>108</v>
      </c>
      <c r="Z45" s="17"/>
    </row>
    <row r="46">
      <c r="A46" s="22"/>
      <c r="B46" s="23"/>
      <c r="C46" s="22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22" t="s">
        <v>96</v>
      </c>
      <c r="W46" s="22">
        <v>45.0</v>
      </c>
      <c r="X46" s="23" t="s">
        <v>109</v>
      </c>
      <c r="Y46" s="24" t="s">
        <v>110</v>
      </c>
      <c r="Z46" s="17"/>
    </row>
    <row r="47">
      <c r="A47" s="22"/>
      <c r="B47" s="2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22" t="s">
        <v>96</v>
      </c>
      <c r="W47" s="22">
        <v>46.0</v>
      </c>
      <c r="X47" s="23" t="s">
        <v>111</v>
      </c>
      <c r="Y47" s="22" t="s">
        <v>112</v>
      </c>
      <c r="Z47" s="17"/>
    </row>
    <row r="48">
      <c r="A48" s="22"/>
      <c r="B48" s="23"/>
      <c r="C48" s="2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22" t="s">
        <v>113</v>
      </c>
      <c r="W48" s="22">
        <v>47.0</v>
      </c>
      <c r="X48" s="23" t="s">
        <v>114</v>
      </c>
      <c r="Y48" s="22" t="s">
        <v>115</v>
      </c>
      <c r="Z48" s="17"/>
    </row>
    <row r="49">
      <c r="A49" s="22"/>
      <c r="B49" s="23"/>
      <c r="C49" s="22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22" t="s">
        <v>113</v>
      </c>
      <c r="W49" s="22">
        <v>48.0</v>
      </c>
      <c r="X49" s="23" t="s">
        <v>116</v>
      </c>
      <c r="Y49" s="17" t="s">
        <v>117</v>
      </c>
      <c r="Z49" s="17"/>
    </row>
    <row r="50">
      <c r="A50" s="22"/>
      <c r="B50" s="23"/>
      <c r="C50" s="2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22" t="s">
        <v>113</v>
      </c>
      <c r="W50" s="22">
        <v>49.0</v>
      </c>
      <c r="X50" s="23" t="s">
        <v>118</v>
      </c>
      <c r="Y50" s="22" t="s">
        <v>119</v>
      </c>
      <c r="Z50" s="17"/>
    </row>
    <row r="51">
      <c r="A51" s="22"/>
      <c r="B51" s="23"/>
      <c r="C51" s="22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22" t="s">
        <v>113</v>
      </c>
      <c r="W51" s="22">
        <v>50.0</v>
      </c>
      <c r="X51" s="23" t="s">
        <v>120</v>
      </c>
      <c r="Y51" s="22" t="s">
        <v>121</v>
      </c>
      <c r="Z51" s="17"/>
    </row>
    <row r="52">
      <c r="A52" s="22"/>
      <c r="B52" s="23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22" t="s">
        <v>113</v>
      </c>
      <c r="W52" s="22">
        <v>51.0</v>
      </c>
      <c r="X52" s="23" t="s">
        <v>122</v>
      </c>
      <c r="Y52" s="22" t="s">
        <v>123</v>
      </c>
      <c r="Z52" s="17"/>
    </row>
    <row r="53">
      <c r="A53" s="22"/>
      <c r="B53" s="23"/>
      <c r="C53" s="2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22" t="s">
        <v>113</v>
      </c>
      <c r="W53" s="22">
        <v>52.0</v>
      </c>
      <c r="X53" s="23" t="s">
        <v>124</v>
      </c>
      <c r="Y53" s="22" t="s">
        <v>125</v>
      </c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22" t="s">
        <v>113</v>
      </c>
      <c r="W54" s="22">
        <v>53.0</v>
      </c>
      <c r="X54" s="23" t="s">
        <v>126</v>
      </c>
      <c r="Y54" s="17" t="s">
        <v>127</v>
      </c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8.13"/>
    <col customWidth="1" min="2" max="2" width="39.88"/>
    <col customWidth="1" min="3" max="3" width="48.0"/>
    <col customWidth="1" min="4" max="4" width="17.0"/>
    <col customWidth="1" min="5" max="5" width="28.13"/>
    <col customWidth="1" min="6" max="6" width="1.5"/>
    <col customWidth="1" min="7" max="7" width="45.88"/>
    <col customWidth="1" min="8" max="8" width="33.75"/>
    <col customWidth="1" min="9" max="9" width="45.88"/>
    <col customWidth="1" min="10" max="11" width="28.25"/>
  </cols>
  <sheetData>
    <row r="1">
      <c r="A1" s="29" t="s">
        <v>128</v>
      </c>
      <c r="D1" s="30"/>
      <c r="E1" s="4"/>
      <c r="F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1"/>
      <c r="B2" s="31"/>
      <c r="C2" s="31"/>
      <c r="D2" s="32" t="s">
        <v>129</v>
      </c>
      <c r="E2" s="33" t="s">
        <v>130</v>
      </c>
      <c r="F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4" t="s">
        <v>131</v>
      </c>
      <c r="B3" s="35" t="s">
        <v>132</v>
      </c>
      <c r="C3" s="36" t="str">
        <f t="array" ref="C3">IF(D3="Mac", IFERROR(INDEX($A$5:$B$160,MATCH(B3,$A$5:$A$160,0),2),"&lt;--- Enter your Search"),IF(D3="PC",IFERROR(INDEX($A$5:$C$160,MATCH(B3,$A$5:$A$160,0),3),"&lt;--- Enter your Search")))</f>
        <v>Alt + Shift + 1</v>
      </c>
      <c r="D3" s="37" t="s">
        <v>133</v>
      </c>
      <c r="E3" s="38" t="str">
        <f>HYPERLINK("https://support.google.com/docs/answer/181110?co=GENIE.Platform%3DDesktop&amp;hl=en","Google Sheets Shortcuts")</f>
        <v>Google Sheets Shortcuts</v>
      </c>
      <c r="F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E4" s="39" t="str">
        <f>HYPERLINK("https://exceljet.net/keyboard-shortcuts","Excel Shortcuts")</f>
        <v>Excel Shortcuts</v>
      </c>
      <c r="F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E5" s="39" t="str">
        <f>HYPERLINK("https://docs.google.com/document/d/1y4DFaqHzEBBY5N0PRsqu2Gxas1kw9iJzA7PzOPekrEE/edit#","Printable Shortcuts Page")</f>
        <v>Printable Shortcuts Page</v>
      </c>
      <c r="F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0" t="s">
        <v>134</v>
      </c>
      <c r="B6" s="40" t="s">
        <v>135</v>
      </c>
      <c r="C6" s="40" t="s">
        <v>133</v>
      </c>
      <c r="D6" s="4"/>
      <c r="E6" s="4"/>
      <c r="F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1" t="s">
        <v>136</v>
      </c>
      <c r="B7" s="42" t="s">
        <v>137</v>
      </c>
      <c r="C7" s="42" t="str">
        <f t="shared" ref="C7:C15" si="1">INDEX($A$43:$D$159,MATCH(A7,$A$43:$A$159,0),3)</f>
        <v>Ctrl + /</v>
      </c>
      <c r="D7" s="43"/>
      <c r="E7" s="4"/>
      <c r="F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1" t="s">
        <v>138</v>
      </c>
      <c r="B8" s="42" t="s">
        <v>139</v>
      </c>
      <c r="C8" s="42" t="str">
        <f t="shared" si="1"/>
        <v>Ctrl + Home</v>
      </c>
      <c r="D8" s="44"/>
      <c r="E8" s="4"/>
      <c r="F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1" t="s">
        <v>140</v>
      </c>
      <c r="B9" s="45" t="s">
        <v>141</v>
      </c>
      <c r="C9" s="42" t="str">
        <f t="shared" si="1"/>
        <v>End</v>
      </c>
      <c r="D9" s="4"/>
      <c r="E9" s="4"/>
      <c r="F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6" t="s">
        <v>142</v>
      </c>
      <c r="B10" s="45" t="s">
        <v>143</v>
      </c>
      <c r="C10" s="42" t="str">
        <f t="shared" si="1"/>
        <v>Ctrl + Shift + Page Down</v>
      </c>
      <c r="D10" s="4"/>
      <c r="E10" s="4"/>
      <c r="F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6" t="s">
        <v>144</v>
      </c>
      <c r="B11" s="45" t="s">
        <v>145</v>
      </c>
      <c r="C11" s="42" t="str">
        <f t="shared" si="1"/>
        <v>Ctrl + Shift + Page Up</v>
      </c>
      <c r="D11" s="4"/>
      <c r="E11" s="4"/>
      <c r="F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6" t="s">
        <v>146</v>
      </c>
      <c r="B12" s="45" t="s">
        <v>147</v>
      </c>
      <c r="C12" s="42" t="str">
        <f t="shared" si="1"/>
        <v>Ctrl + d</v>
      </c>
      <c r="D12" s="4"/>
      <c r="E12" s="4"/>
      <c r="F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6" t="s">
        <v>148</v>
      </c>
      <c r="B13" s="45" t="s">
        <v>149</v>
      </c>
      <c r="C13" s="42" t="str">
        <f t="shared" si="1"/>
        <v>Ctrl + r</v>
      </c>
      <c r="D13" s="4"/>
      <c r="E13" s="4"/>
      <c r="F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6" t="s">
        <v>150</v>
      </c>
      <c r="B14" s="45" t="s">
        <v>151</v>
      </c>
      <c r="C14" s="42" t="str">
        <f t="shared" si="1"/>
        <v>Ctrl + v</v>
      </c>
      <c r="D14" s="4"/>
      <c r="E14" s="4"/>
      <c r="F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6" t="s">
        <v>152</v>
      </c>
      <c r="B15" s="45" t="s">
        <v>153</v>
      </c>
      <c r="C15" s="42" t="str">
        <f t="shared" si="1"/>
        <v>Ctrl + Shift + v</v>
      </c>
      <c r="D15" s="4"/>
      <c r="E15" s="4"/>
      <c r="F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6" t="s">
        <v>154</v>
      </c>
      <c r="B16" s="45" t="s">
        <v>155</v>
      </c>
      <c r="C16" s="42" t="s">
        <v>156</v>
      </c>
      <c r="D16" s="4"/>
      <c r="E16" s="4"/>
      <c r="F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6" t="s">
        <v>157</v>
      </c>
      <c r="B17" s="45" t="s">
        <v>158</v>
      </c>
      <c r="C17" s="42" t="str">
        <f t="shared" ref="C17:C37" si="2">INDEX($A$43:$D$159,MATCH(A17,$A$43:$A$159,0),3)</f>
        <v>Ctrl + f</v>
      </c>
      <c r="D17" s="4"/>
      <c r="E17" s="4"/>
      <c r="F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6" t="s">
        <v>159</v>
      </c>
      <c r="B18" s="45" t="s">
        <v>160</v>
      </c>
      <c r="C18" s="42" t="str">
        <f t="shared" si="2"/>
        <v>Ctrl + h</v>
      </c>
      <c r="D18" s="4"/>
      <c r="E18" s="4"/>
      <c r="F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6" t="s">
        <v>161</v>
      </c>
      <c r="B19" s="45" t="s">
        <v>162</v>
      </c>
      <c r="C19" s="42" t="str">
        <f t="shared" si="2"/>
        <v>Ctrl + z</v>
      </c>
      <c r="D19" s="4"/>
      <c r="E19" s="4"/>
      <c r="F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6" t="s">
        <v>163</v>
      </c>
      <c r="B20" s="45" t="s">
        <v>164</v>
      </c>
      <c r="C20" s="42" t="str">
        <f t="shared" si="2"/>
        <v>Ctrl + y
Ctrl + Shift + z
F4</v>
      </c>
      <c r="D20" s="4"/>
      <c r="E20" s="4"/>
      <c r="F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6" t="s">
        <v>165</v>
      </c>
      <c r="B21" s="45" t="s">
        <v>166</v>
      </c>
      <c r="C21" s="42" t="str">
        <f t="shared" si="2"/>
        <v>Ctrl + b</v>
      </c>
      <c r="D21" s="4"/>
      <c r="E21" s="4"/>
      <c r="F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1" t="s">
        <v>167</v>
      </c>
      <c r="B22" s="42" t="s">
        <v>168</v>
      </c>
      <c r="C22" s="42" t="str">
        <f t="shared" si="2"/>
        <v>Ctrl + Shift + e</v>
      </c>
      <c r="D22" s="4"/>
      <c r="E22" s="4"/>
      <c r="F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1" t="s">
        <v>169</v>
      </c>
      <c r="B23" s="42" t="s">
        <v>170</v>
      </c>
      <c r="C23" s="42" t="str">
        <f t="shared" si="2"/>
        <v>Ctrl + Shift + l</v>
      </c>
      <c r="D23" s="4"/>
      <c r="E23" s="4"/>
      <c r="F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1" t="s">
        <v>171</v>
      </c>
      <c r="B24" s="42" t="s">
        <v>172</v>
      </c>
      <c r="C24" s="42" t="str">
        <f t="shared" si="2"/>
        <v>Ctrl + Shift + r</v>
      </c>
      <c r="D24" s="4"/>
      <c r="E24" s="4"/>
      <c r="F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6" t="s">
        <v>173</v>
      </c>
      <c r="B25" s="45" t="s">
        <v>174</v>
      </c>
      <c r="C25" s="42" t="str">
        <f t="shared" si="2"/>
        <v>Alt + Shift + 3</v>
      </c>
      <c r="D25" s="4"/>
      <c r="E25" s="4"/>
      <c r="F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6" t="s">
        <v>175</v>
      </c>
      <c r="B26" s="45" t="s">
        <v>176</v>
      </c>
      <c r="C26" s="42" t="str">
        <f t="shared" si="2"/>
        <v>Alt + Shift + 7
Ctrl + Shift + 7</v>
      </c>
      <c r="D26" s="4"/>
      <c r="E26" s="4"/>
      <c r="F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1" t="s">
        <v>177</v>
      </c>
      <c r="B27" s="42" t="s">
        <v>178</v>
      </c>
      <c r="C27" s="42" t="str">
        <f t="shared" si="2"/>
        <v>Alt + Shift + 6</v>
      </c>
      <c r="D27" s="4"/>
      <c r="E27" s="4"/>
      <c r="F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6" t="s">
        <v>179</v>
      </c>
      <c r="B28" s="45" t="s">
        <v>180</v>
      </c>
      <c r="C28" s="42" t="str">
        <f t="shared" si="2"/>
        <v>Ctrl + k</v>
      </c>
      <c r="D28" s="4"/>
      <c r="E28" s="4"/>
      <c r="F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6" t="s">
        <v>181</v>
      </c>
      <c r="B29" s="45" t="s">
        <v>182</v>
      </c>
      <c r="C29" s="42" t="str">
        <f t="shared" si="2"/>
        <v>Ctrl + Shift + 1</v>
      </c>
      <c r="D29" s="4"/>
      <c r="E29" s="4"/>
      <c r="F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6" t="s">
        <v>183</v>
      </c>
      <c r="B30" s="45" t="s">
        <v>184</v>
      </c>
      <c r="C30" s="42" t="str">
        <f t="shared" si="2"/>
        <v>Ctrl + Shift + 2</v>
      </c>
      <c r="D30" s="4"/>
      <c r="E30" s="4"/>
      <c r="F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6" t="s">
        <v>185</v>
      </c>
      <c r="B31" s="45" t="s">
        <v>186</v>
      </c>
      <c r="C31" s="42" t="str">
        <f t="shared" si="2"/>
        <v>Ctrl + Shift + 3</v>
      </c>
      <c r="D31" s="4"/>
      <c r="E31" s="47"/>
      <c r="F31" s="4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6" t="s">
        <v>187</v>
      </c>
      <c r="B32" s="45" t="s">
        <v>188</v>
      </c>
      <c r="C32" s="42" t="str">
        <f t="shared" si="2"/>
        <v>Ctrl + Shift + 4</v>
      </c>
      <c r="D32" s="4"/>
      <c r="E32" s="47"/>
      <c r="F32" s="4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6" t="s">
        <v>189</v>
      </c>
      <c r="B33" s="45" t="s">
        <v>190</v>
      </c>
      <c r="C33" s="42" t="str">
        <f t="shared" si="2"/>
        <v>Ctrl + Shift + 5</v>
      </c>
      <c r="D33" s="4"/>
      <c r="E33" s="47"/>
      <c r="F33" s="4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6" t="s">
        <v>191</v>
      </c>
      <c r="B34" s="45" t="s">
        <v>192</v>
      </c>
      <c r="C34" s="42" t="str">
        <f t="shared" si="2"/>
        <v>Ctrl + \</v>
      </c>
      <c r="D34" s="4"/>
      <c r="E34" s="47"/>
      <c r="F34" s="4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6" t="s">
        <v>193</v>
      </c>
      <c r="B35" s="45" t="s">
        <v>194</v>
      </c>
      <c r="C35" s="42" t="str">
        <f t="shared" si="2"/>
        <v>Alt + Shift + k</v>
      </c>
      <c r="D35" s="47"/>
      <c r="E35" s="47"/>
      <c r="F35" s="4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6" t="s">
        <v>195</v>
      </c>
      <c r="B36" s="45" t="s">
        <v>196</v>
      </c>
      <c r="C36" s="42" t="str">
        <f t="shared" si="2"/>
        <v>Ctrl + Shift + 9</v>
      </c>
      <c r="D36" s="47"/>
      <c r="E36" s="47"/>
      <c r="F36" s="48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9" t="s">
        <v>197</v>
      </c>
      <c r="B37" s="50" t="s">
        <v>198</v>
      </c>
      <c r="C37" s="42" t="str">
        <f t="shared" si="2"/>
        <v>Ctrl + Shift + 0</v>
      </c>
      <c r="D37" s="47"/>
      <c r="E37" s="47"/>
      <c r="F37" s="4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7"/>
      <c r="E38" s="47"/>
      <c r="F38" s="4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7"/>
      <c r="E39" s="47"/>
      <c r="F39" s="4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7"/>
      <c r="E40" s="47"/>
      <c r="F40" s="4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7"/>
      <c r="E41" s="47"/>
      <c r="F41" s="4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1" t="s">
        <v>135</v>
      </c>
      <c r="C42" s="51" t="s">
        <v>133</v>
      </c>
      <c r="E42" s="47"/>
      <c r="F42" s="4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2" t="s">
        <v>199</v>
      </c>
      <c r="B43" s="52"/>
      <c r="C43" s="52"/>
      <c r="D43" s="4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1" t="s">
        <v>200</v>
      </c>
      <c r="B44" s="42" t="s">
        <v>201</v>
      </c>
      <c r="C44" s="42" t="s">
        <v>201</v>
      </c>
      <c r="D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1" t="s">
        <v>202</v>
      </c>
      <c r="B45" s="42" t="s">
        <v>203</v>
      </c>
      <c r="C45" s="42" t="s">
        <v>203</v>
      </c>
      <c r="D45" s="4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1" t="s">
        <v>204</v>
      </c>
      <c r="B46" s="42" t="s">
        <v>205</v>
      </c>
      <c r="C46" s="42" t="s">
        <v>206</v>
      </c>
      <c r="D46" s="4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1" t="s">
        <v>161</v>
      </c>
      <c r="B47" s="42" t="s">
        <v>162</v>
      </c>
      <c r="C47" s="42" t="s">
        <v>207</v>
      </c>
      <c r="D47" s="4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1" t="s">
        <v>163</v>
      </c>
      <c r="B48" s="42" t="s">
        <v>164</v>
      </c>
      <c r="C48" s="42" t="s">
        <v>208</v>
      </c>
      <c r="D48" s="4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1" t="s">
        <v>157</v>
      </c>
      <c r="B49" s="42" t="s">
        <v>158</v>
      </c>
      <c r="C49" s="42" t="s">
        <v>209</v>
      </c>
      <c r="D49" s="4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1" t="s">
        <v>159</v>
      </c>
      <c r="B50" s="42" t="s">
        <v>160</v>
      </c>
      <c r="C50" s="42" t="s">
        <v>210</v>
      </c>
      <c r="D50" s="4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1" t="s">
        <v>211</v>
      </c>
      <c r="B51" s="42" t="s">
        <v>212</v>
      </c>
      <c r="C51" s="42" t="s">
        <v>213</v>
      </c>
      <c r="D51" s="4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1" t="s">
        <v>146</v>
      </c>
      <c r="B52" s="42" t="s">
        <v>147</v>
      </c>
      <c r="C52" s="42" t="s">
        <v>214</v>
      </c>
      <c r="D52" s="4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1" t="s">
        <v>148</v>
      </c>
      <c r="B53" s="42" t="s">
        <v>149</v>
      </c>
      <c r="C53" s="42" t="s">
        <v>215</v>
      </c>
      <c r="D53" s="4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1" t="s">
        <v>216</v>
      </c>
      <c r="B54" s="42" t="s">
        <v>217</v>
      </c>
      <c r="C54" s="42" t="s">
        <v>218</v>
      </c>
      <c r="D54" s="4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1" t="s">
        <v>219</v>
      </c>
      <c r="B55" s="42" t="s">
        <v>220</v>
      </c>
      <c r="C55" s="42" t="s">
        <v>221</v>
      </c>
      <c r="D55" s="4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1" t="s">
        <v>222</v>
      </c>
      <c r="B56" s="42" t="s">
        <v>223</v>
      </c>
      <c r="C56" s="42" t="s">
        <v>224</v>
      </c>
      <c r="D56" s="4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1" t="s">
        <v>225</v>
      </c>
      <c r="B57" s="42" t="s">
        <v>226</v>
      </c>
      <c r="C57" s="42" t="s">
        <v>227</v>
      </c>
      <c r="D57" s="4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1" t="s">
        <v>228</v>
      </c>
      <c r="B58" s="42" t="s">
        <v>229</v>
      </c>
      <c r="C58" s="42" t="s">
        <v>230</v>
      </c>
      <c r="D58" s="4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1" t="s">
        <v>150</v>
      </c>
      <c r="B59" s="42" t="s">
        <v>151</v>
      </c>
      <c r="C59" s="42" t="s">
        <v>231</v>
      </c>
      <c r="D59" s="4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1" t="s">
        <v>152</v>
      </c>
      <c r="B60" s="42" t="s">
        <v>153</v>
      </c>
      <c r="C60" s="42" t="s">
        <v>232</v>
      </c>
      <c r="D60" s="4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1" t="s">
        <v>136</v>
      </c>
      <c r="B61" s="42" t="s">
        <v>137</v>
      </c>
      <c r="C61" s="42" t="s">
        <v>233</v>
      </c>
      <c r="D61" s="4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1" t="s">
        <v>234</v>
      </c>
      <c r="B62" s="42" t="s">
        <v>235</v>
      </c>
      <c r="C62" s="42" t="s">
        <v>236</v>
      </c>
      <c r="D62" s="4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1" t="s">
        <v>237</v>
      </c>
      <c r="B63" s="42" t="s">
        <v>238</v>
      </c>
      <c r="C63" s="42" t="s">
        <v>235</v>
      </c>
      <c r="D63" s="4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1" t="s">
        <v>239</v>
      </c>
      <c r="B64" s="42" t="s">
        <v>240</v>
      </c>
      <c r="C64" s="42" t="s">
        <v>241</v>
      </c>
      <c r="D64" s="4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3"/>
      <c r="B65" s="4"/>
      <c r="C65" s="48" t="s">
        <v>242</v>
      </c>
      <c r="D65" s="4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2" t="s">
        <v>243</v>
      </c>
      <c r="B66" s="52"/>
      <c r="C66" s="52"/>
      <c r="D66" s="4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1" t="s">
        <v>165</v>
      </c>
      <c r="B67" s="42" t="s">
        <v>166</v>
      </c>
      <c r="C67" s="42" t="s">
        <v>244</v>
      </c>
      <c r="D67" s="4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1" t="s">
        <v>245</v>
      </c>
      <c r="B68" s="42" t="s">
        <v>246</v>
      </c>
      <c r="C68" s="42" t="s">
        <v>247</v>
      </c>
      <c r="D68" s="4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1" t="s">
        <v>248</v>
      </c>
      <c r="B69" s="42" t="s">
        <v>249</v>
      </c>
      <c r="C69" s="42" t="s">
        <v>250</v>
      </c>
      <c r="D69" s="4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1" t="s">
        <v>251</v>
      </c>
      <c r="B70" s="42" t="s">
        <v>252</v>
      </c>
      <c r="C70" s="42" t="s">
        <v>253</v>
      </c>
      <c r="D70" s="4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1" t="s">
        <v>167</v>
      </c>
      <c r="B71" s="42" t="s">
        <v>168</v>
      </c>
      <c r="C71" s="42" t="s">
        <v>254</v>
      </c>
      <c r="D71" s="4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1" t="s">
        <v>169</v>
      </c>
      <c r="B72" s="42" t="s">
        <v>170</v>
      </c>
      <c r="C72" s="42" t="s">
        <v>255</v>
      </c>
      <c r="D72" s="4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1" t="s">
        <v>171</v>
      </c>
      <c r="B73" s="42" t="s">
        <v>172</v>
      </c>
      <c r="C73" s="42" t="s">
        <v>256</v>
      </c>
      <c r="D73" s="4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1" t="s">
        <v>132</v>
      </c>
      <c r="B74" s="42" t="s">
        <v>257</v>
      </c>
      <c r="C74" s="42" t="s">
        <v>258</v>
      </c>
      <c r="D74" s="4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1" t="s">
        <v>259</v>
      </c>
      <c r="B75" s="42" t="s">
        <v>260</v>
      </c>
      <c r="C75" s="42" t="s">
        <v>261</v>
      </c>
      <c r="D75" s="4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1" t="s">
        <v>173</v>
      </c>
      <c r="B76" s="42" t="s">
        <v>174</v>
      </c>
      <c r="C76" s="42" t="s">
        <v>262</v>
      </c>
      <c r="D76" s="4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1" t="s">
        <v>263</v>
      </c>
      <c r="B77" s="42" t="s">
        <v>264</v>
      </c>
      <c r="C77" s="42" t="s">
        <v>265</v>
      </c>
      <c r="D77" s="4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1" t="s">
        <v>177</v>
      </c>
      <c r="B78" s="42" t="s">
        <v>178</v>
      </c>
      <c r="C78" s="42" t="s">
        <v>266</v>
      </c>
      <c r="D78" s="4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1" t="s">
        <v>175</v>
      </c>
      <c r="B79" s="42" t="s">
        <v>176</v>
      </c>
      <c r="C79" s="42" t="s">
        <v>267</v>
      </c>
      <c r="D79" s="4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1" t="s">
        <v>179</v>
      </c>
      <c r="B80" s="42" t="s">
        <v>180</v>
      </c>
      <c r="C80" s="42" t="s">
        <v>268</v>
      </c>
      <c r="D80" s="4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1" t="s">
        <v>269</v>
      </c>
      <c r="B81" s="42" t="s">
        <v>270</v>
      </c>
      <c r="C81" s="42" t="s">
        <v>271</v>
      </c>
      <c r="D81" s="4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1" t="s">
        <v>272</v>
      </c>
      <c r="B82" s="42" t="s">
        <v>273</v>
      </c>
      <c r="C82" s="42" t="s">
        <v>274</v>
      </c>
      <c r="D82" s="4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1" t="s">
        <v>275</v>
      </c>
      <c r="B83" s="42" t="s">
        <v>276</v>
      </c>
      <c r="C83" s="42" t="s">
        <v>277</v>
      </c>
      <c r="D83" s="4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1" t="s">
        <v>181</v>
      </c>
      <c r="B84" s="42" t="s">
        <v>182</v>
      </c>
      <c r="C84" s="42" t="s">
        <v>182</v>
      </c>
      <c r="D84" s="4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1" t="s">
        <v>183</v>
      </c>
      <c r="B85" s="42" t="s">
        <v>184</v>
      </c>
      <c r="C85" s="42" t="s">
        <v>184</v>
      </c>
      <c r="D85" s="4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1" t="s">
        <v>185</v>
      </c>
      <c r="B86" s="42" t="s">
        <v>186</v>
      </c>
      <c r="C86" s="42" t="s">
        <v>186</v>
      </c>
      <c r="D86" s="4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1" t="s">
        <v>187</v>
      </c>
      <c r="B87" s="42" t="s">
        <v>188</v>
      </c>
      <c r="C87" s="42" t="s">
        <v>188</v>
      </c>
      <c r="D87" s="4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1" t="s">
        <v>189</v>
      </c>
      <c r="B88" s="42" t="s">
        <v>190</v>
      </c>
      <c r="C88" s="42" t="s">
        <v>190</v>
      </c>
      <c r="D88" s="4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1" t="s">
        <v>278</v>
      </c>
      <c r="B89" s="42" t="s">
        <v>279</v>
      </c>
      <c r="C89" s="42" t="s">
        <v>279</v>
      </c>
      <c r="D89" s="4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1" t="s">
        <v>191</v>
      </c>
      <c r="B90" s="42" t="s">
        <v>192</v>
      </c>
      <c r="C90" s="42" t="s">
        <v>280</v>
      </c>
      <c r="D90" s="48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2" t="s">
        <v>281</v>
      </c>
      <c r="B91" s="52"/>
      <c r="C91" s="52"/>
      <c r="D91" s="4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7" t="s">
        <v>282</v>
      </c>
      <c r="B92" s="48" t="s">
        <v>283</v>
      </c>
      <c r="C92" s="48" t="s">
        <v>284</v>
      </c>
      <c r="D92" s="4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7" t="s">
        <v>138</v>
      </c>
      <c r="B93" s="48" t="s">
        <v>139</v>
      </c>
      <c r="C93" s="48" t="s">
        <v>285</v>
      </c>
      <c r="D93" s="4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7" t="s">
        <v>140</v>
      </c>
      <c r="B94" s="48" t="s">
        <v>286</v>
      </c>
      <c r="C94" s="48" t="s">
        <v>287</v>
      </c>
      <c r="D94" s="48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7" t="s">
        <v>288</v>
      </c>
      <c r="B95" s="48" t="s">
        <v>289</v>
      </c>
      <c r="C95" s="48" t="s">
        <v>290</v>
      </c>
      <c r="D95" s="48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7" t="s">
        <v>291</v>
      </c>
      <c r="B96" s="48" t="s">
        <v>292</v>
      </c>
      <c r="C96" s="48" t="s">
        <v>293</v>
      </c>
      <c r="D96" s="4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7" t="s">
        <v>142</v>
      </c>
      <c r="B97" s="48" t="s">
        <v>143</v>
      </c>
      <c r="C97" s="48" t="s">
        <v>294</v>
      </c>
      <c r="D97" s="48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7" t="s">
        <v>144</v>
      </c>
      <c r="B98" s="48" t="s">
        <v>145</v>
      </c>
      <c r="C98" s="48" t="s">
        <v>295</v>
      </c>
      <c r="D98" s="48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7" t="s">
        <v>193</v>
      </c>
      <c r="B99" s="48" t="s">
        <v>194</v>
      </c>
      <c r="C99" s="48" t="s">
        <v>296</v>
      </c>
      <c r="D99" s="48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7" t="s">
        <v>297</v>
      </c>
      <c r="B100" s="48" t="s">
        <v>298</v>
      </c>
      <c r="C100" s="48" t="s">
        <v>299</v>
      </c>
      <c r="D100" s="48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7" t="s">
        <v>300</v>
      </c>
      <c r="B101" s="48" t="s">
        <v>301</v>
      </c>
      <c r="C101" s="48" t="s">
        <v>302</v>
      </c>
      <c r="D101" s="48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7" t="s">
        <v>303</v>
      </c>
      <c r="B102" s="48" t="s">
        <v>304</v>
      </c>
      <c r="C102" s="48" t="s">
        <v>305</v>
      </c>
      <c r="D102" s="4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7" t="s">
        <v>306</v>
      </c>
      <c r="B103" s="48" t="s">
        <v>307</v>
      </c>
      <c r="C103" s="48" t="s">
        <v>308</v>
      </c>
      <c r="D103" s="48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7" t="s">
        <v>309</v>
      </c>
      <c r="B104" s="48" t="s">
        <v>310</v>
      </c>
      <c r="C104" s="48" t="s">
        <v>311</v>
      </c>
      <c r="D104" s="48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7" t="s">
        <v>312</v>
      </c>
      <c r="B105" s="48" t="s">
        <v>313</v>
      </c>
      <c r="C105" s="48" t="s">
        <v>314</v>
      </c>
      <c r="D105" s="48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7" t="s">
        <v>315</v>
      </c>
      <c r="B106" s="48" t="s">
        <v>316</v>
      </c>
      <c r="C106" s="48" t="s">
        <v>317</v>
      </c>
      <c r="D106" s="48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7" t="s">
        <v>318</v>
      </c>
      <c r="B107" s="48" t="s">
        <v>319</v>
      </c>
      <c r="C107" s="48" t="s">
        <v>319</v>
      </c>
      <c r="D107" s="48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7" t="s">
        <v>320</v>
      </c>
      <c r="B108" s="48" t="s">
        <v>321</v>
      </c>
      <c r="C108" s="48" t="s">
        <v>319</v>
      </c>
      <c r="D108" s="4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2" t="s">
        <v>322</v>
      </c>
      <c r="B109" s="52"/>
      <c r="C109" s="52"/>
      <c r="D109" s="4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7" t="s">
        <v>323</v>
      </c>
      <c r="B110" s="48" t="s">
        <v>324</v>
      </c>
      <c r="C110" s="48" t="s">
        <v>324</v>
      </c>
      <c r="D110" s="4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7" t="s">
        <v>325</v>
      </c>
      <c r="B111" s="48" t="s">
        <v>326</v>
      </c>
      <c r="C111" s="48" t="s">
        <v>327</v>
      </c>
      <c r="D111" s="4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7" t="s">
        <v>328</v>
      </c>
      <c r="B112" s="48" t="s">
        <v>329</v>
      </c>
      <c r="C112" s="48" t="s">
        <v>330</v>
      </c>
      <c r="D112" s="4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7" t="s">
        <v>331</v>
      </c>
      <c r="B113" s="48" t="s">
        <v>332</v>
      </c>
      <c r="C113" s="48" t="s">
        <v>333</v>
      </c>
      <c r="D113" s="48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7" t="s">
        <v>334</v>
      </c>
      <c r="B114" s="48" t="s">
        <v>335</v>
      </c>
      <c r="C114" s="48" t="s">
        <v>336</v>
      </c>
      <c r="D114" s="4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7" t="s">
        <v>337</v>
      </c>
      <c r="B115" s="48" t="s">
        <v>338</v>
      </c>
      <c r="C115" s="48" t="s">
        <v>339</v>
      </c>
      <c r="D115" s="4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2" t="s">
        <v>340</v>
      </c>
      <c r="B116" s="52"/>
      <c r="C116" s="52"/>
      <c r="D116" s="4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7" t="s">
        <v>341</v>
      </c>
      <c r="B117" s="48" t="s">
        <v>342</v>
      </c>
      <c r="C117" s="48" t="s">
        <v>343</v>
      </c>
      <c r="D117" s="4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7" t="s">
        <v>344</v>
      </c>
      <c r="B118" s="48" t="s">
        <v>345</v>
      </c>
      <c r="C118" s="48" t="s">
        <v>346</v>
      </c>
      <c r="D118" s="4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7" t="s">
        <v>347</v>
      </c>
      <c r="B119" s="48" t="s">
        <v>348</v>
      </c>
      <c r="C119" s="48" t="s">
        <v>349</v>
      </c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7" t="s">
        <v>350</v>
      </c>
      <c r="B120" s="48" t="s">
        <v>351</v>
      </c>
      <c r="C120" s="48" t="s">
        <v>352</v>
      </c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7" t="s">
        <v>353</v>
      </c>
      <c r="B121" s="48" t="s">
        <v>354</v>
      </c>
      <c r="C121" s="48" t="s">
        <v>355</v>
      </c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7" t="s">
        <v>356</v>
      </c>
      <c r="B122" s="48" t="s">
        <v>357</v>
      </c>
      <c r="C122" s="48" t="s">
        <v>358</v>
      </c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7" t="s">
        <v>359</v>
      </c>
      <c r="B123" s="48" t="s">
        <v>360</v>
      </c>
      <c r="C123" s="48" t="s">
        <v>361</v>
      </c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7" t="s">
        <v>362</v>
      </c>
      <c r="B124" s="48" t="s">
        <v>363</v>
      </c>
      <c r="C124" s="48" t="s">
        <v>364</v>
      </c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7" t="s">
        <v>365</v>
      </c>
      <c r="B125" s="48" t="s">
        <v>366</v>
      </c>
      <c r="C125" s="48" t="s">
        <v>367</v>
      </c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7" t="s">
        <v>368</v>
      </c>
      <c r="B126" s="48" t="s">
        <v>369</v>
      </c>
      <c r="C126" s="48" t="s">
        <v>370</v>
      </c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7" t="s">
        <v>371</v>
      </c>
      <c r="B127" s="48" t="s">
        <v>372</v>
      </c>
      <c r="C127" s="48" t="s">
        <v>373</v>
      </c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7" t="s">
        <v>374</v>
      </c>
      <c r="B128" s="48" t="s">
        <v>375</v>
      </c>
      <c r="C128" s="48" t="s">
        <v>376</v>
      </c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7" t="s">
        <v>377</v>
      </c>
      <c r="B129" s="48" t="s">
        <v>378</v>
      </c>
      <c r="C129" s="48" t="s">
        <v>379</v>
      </c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7" t="s">
        <v>380</v>
      </c>
      <c r="B130" s="48" t="s">
        <v>381</v>
      </c>
      <c r="C130" s="48" t="s">
        <v>382</v>
      </c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7" t="s">
        <v>383</v>
      </c>
      <c r="B131" s="48" t="s">
        <v>384</v>
      </c>
      <c r="C131" s="48" t="s">
        <v>385</v>
      </c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2" t="s">
        <v>386</v>
      </c>
      <c r="B132" s="52"/>
      <c r="C132" s="52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1" t="s">
        <v>387</v>
      </c>
      <c r="B133" s="42" t="s">
        <v>388</v>
      </c>
      <c r="C133" s="42" t="s">
        <v>389</v>
      </c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1" t="s">
        <v>390</v>
      </c>
      <c r="B134" s="42" t="s">
        <v>391</v>
      </c>
      <c r="C134" s="42" t="s">
        <v>392</v>
      </c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1" t="s">
        <v>393</v>
      </c>
      <c r="B135" s="42" t="s">
        <v>394</v>
      </c>
      <c r="C135" s="42" t="s">
        <v>395</v>
      </c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1" t="s">
        <v>396</v>
      </c>
      <c r="B136" s="42" t="s">
        <v>397</v>
      </c>
      <c r="C136" s="42" t="s">
        <v>398</v>
      </c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1" t="s">
        <v>399</v>
      </c>
      <c r="B137" s="42" t="s">
        <v>400</v>
      </c>
      <c r="C137" s="42" t="s">
        <v>401</v>
      </c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1" t="s">
        <v>402</v>
      </c>
      <c r="B138" s="42" t="s">
        <v>403</v>
      </c>
      <c r="C138" s="42" t="s">
        <v>404</v>
      </c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1" t="s">
        <v>405</v>
      </c>
      <c r="B139" s="42" t="s">
        <v>406</v>
      </c>
      <c r="C139" s="42" t="s">
        <v>407</v>
      </c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1" t="s">
        <v>408</v>
      </c>
      <c r="B140" s="42" t="s">
        <v>409</v>
      </c>
      <c r="C140" s="42" t="s">
        <v>410</v>
      </c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1" t="s">
        <v>195</v>
      </c>
      <c r="B141" s="42" t="s">
        <v>196</v>
      </c>
      <c r="C141" s="42" t="s">
        <v>411</v>
      </c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1" t="s">
        <v>197</v>
      </c>
      <c r="B142" s="42" t="s">
        <v>198</v>
      </c>
      <c r="C142" s="42" t="s">
        <v>412</v>
      </c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1" t="s">
        <v>413</v>
      </c>
      <c r="B143" s="42" t="s">
        <v>414</v>
      </c>
      <c r="C143" s="42" t="s">
        <v>415</v>
      </c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1" t="s">
        <v>416</v>
      </c>
      <c r="B144" s="42" t="s">
        <v>417</v>
      </c>
      <c r="C144" s="42" t="s">
        <v>418</v>
      </c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1"/>
      <c r="B145" s="42"/>
      <c r="C145" s="42" t="s">
        <v>419</v>
      </c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3"/>
      <c r="B146" s="4"/>
      <c r="C146" s="48" t="s">
        <v>420</v>
      </c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2" t="s">
        <v>421</v>
      </c>
      <c r="B147" s="52"/>
      <c r="C147" s="52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1" t="s">
        <v>422</v>
      </c>
      <c r="B148" s="42" t="s">
        <v>423</v>
      </c>
      <c r="C148" s="42" t="s">
        <v>423</v>
      </c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1" t="s">
        <v>424</v>
      </c>
      <c r="B149" s="42" t="s">
        <v>425</v>
      </c>
      <c r="C149" s="42" t="s">
        <v>426</v>
      </c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1" t="s">
        <v>427</v>
      </c>
      <c r="B150" s="42" t="s">
        <v>428</v>
      </c>
      <c r="C150" s="42" t="s">
        <v>429</v>
      </c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1" t="s">
        <v>430</v>
      </c>
      <c r="B151" s="42" t="s">
        <v>431</v>
      </c>
      <c r="C151" s="42" t="s">
        <v>432</v>
      </c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1" t="s">
        <v>433</v>
      </c>
      <c r="B152" s="42" t="s">
        <v>434</v>
      </c>
      <c r="C152" s="42" t="s">
        <v>435</v>
      </c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1" t="s">
        <v>436</v>
      </c>
      <c r="B153" s="42" t="s">
        <v>437</v>
      </c>
      <c r="C153" s="42" t="s">
        <v>438</v>
      </c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1" t="s">
        <v>439</v>
      </c>
      <c r="B154" s="42" t="s">
        <v>440</v>
      </c>
      <c r="C154" s="42" t="s">
        <v>441</v>
      </c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7" t="s">
        <v>442</v>
      </c>
      <c r="B155" s="48" t="s">
        <v>443</v>
      </c>
      <c r="C155" s="48" t="s">
        <v>444</v>
      </c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2" t="s">
        <v>445</v>
      </c>
      <c r="B156" s="52"/>
      <c r="C156" s="52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4" t="s">
        <v>446</v>
      </c>
      <c r="B157" s="42" t="s">
        <v>447</v>
      </c>
      <c r="C157" s="42" t="s">
        <v>448</v>
      </c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1" t="s">
        <v>449</v>
      </c>
      <c r="B158" s="42" t="s">
        <v>450</v>
      </c>
      <c r="C158" s="42" t="s">
        <v>451</v>
      </c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1" t="s">
        <v>452</v>
      </c>
      <c r="B159" s="42" t="s">
        <v>453</v>
      </c>
      <c r="C159" s="42" t="s">
        <v>454</v>
      </c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7"/>
      <c r="D221" s="4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7"/>
      <c r="D222" s="4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7"/>
      <c r="D223" s="4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7"/>
      <c r="D224" s="4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7"/>
      <c r="D225" s="4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7"/>
      <c r="D226" s="4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7"/>
      <c r="D227" s="4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7"/>
      <c r="D228" s="4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7"/>
      <c r="D229" s="4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7"/>
      <c r="D230" s="4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7"/>
      <c r="D231" s="4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7"/>
      <c r="D232" s="4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7"/>
      <c r="D233" s="4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7"/>
      <c r="D234" s="4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7"/>
      <c r="D235" s="4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7"/>
      <c r="D236" s="4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7"/>
      <c r="D237" s="4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7"/>
      <c r="D238" s="4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7"/>
      <c r="D239" s="4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7"/>
      <c r="D240" s="4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7"/>
      <c r="D241" s="4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7"/>
      <c r="D242" s="4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7"/>
      <c r="D243" s="4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7"/>
      <c r="D244" s="4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7"/>
      <c r="D245" s="4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7"/>
      <c r="D246" s="4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7"/>
      <c r="D247" s="4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7"/>
      <c r="D248" s="4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7"/>
      <c r="D249" s="4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7"/>
      <c r="D250" s="4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7"/>
      <c r="D251" s="4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7"/>
      <c r="D252" s="4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7"/>
      <c r="D253" s="4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7"/>
      <c r="D254" s="4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7"/>
      <c r="D255" s="4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7"/>
      <c r="D256" s="4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7"/>
      <c r="D257" s="4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7"/>
      <c r="D258" s="4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7"/>
      <c r="D259" s="4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7"/>
      <c r="D260" s="4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7"/>
      <c r="D261" s="4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7"/>
      <c r="D262" s="4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7"/>
      <c r="D263" s="4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7"/>
      <c r="D264" s="4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7"/>
      <c r="D265" s="4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7"/>
      <c r="D266" s="4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7"/>
      <c r="D267" s="4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7"/>
      <c r="D268" s="4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7"/>
      <c r="D269" s="4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7"/>
      <c r="D270" s="4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7"/>
      <c r="D271" s="4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7"/>
      <c r="D272" s="4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7"/>
      <c r="D273" s="4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7"/>
      <c r="D274" s="4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7"/>
      <c r="D275" s="4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7"/>
      <c r="D276" s="4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7"/>
      <c r="D277" s="4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7"/>
      <c r="D278" s="4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7"/>
      <c r="D279" s="4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7"/>
      <c r="D280" s="4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7"/>
      <c r="D281" s="4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7"/>
      <c r="D282" s="4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7"/>
      <c r="D283" s="4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7"/>
      <c r="D284" s="4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7"/>
      <c r="D285" s="4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7"/>
      <c r="D286" s="4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7"/>
      <c r="D287" s="4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7"/>
      <c r="D288" s="4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7"/>
      <c r="D289" s="4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7"/>
      <c r="D290" s="4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7"/>
      <c r="D291" s="4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7"/>
      <c r="D292" s="4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7"/>
      <c r="D293" s="4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7"/>
      <c r="D294" s="4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7"/>
      <c r="D295" s="4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7"/>
      <c r="D296" s="4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7"/>
      <c r="D297" s="4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7"/>
      <c r="D298" s="4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7"/>
      <c r="D299" s="4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7"/>
      <c r="D300" s="4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7"/>
      <c r="D301" s="4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7"/>
      <c r="D302" s="4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7"/>
      <c r="D303" s="4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7"/>
      <c r="D304" s="4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7"/>
      <c r="D305" s="4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7"/>
      <c r="D306" s="4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7"/>
      <c r="D307" s="4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7"/>
      <c r="D308" s="4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7"/>
      <c r="D309" s="4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7"/>
      <c r="D310" s="4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7"/>
      <c r="D311" s="4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7"/>
      <c r="D312" s="4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7"/>
      <c r="D313" s="4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7"/>
      <c r="D314" s="4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7"/>
      <c r="D315" s="4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7"/>
      <c r="D316" s="4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7"/>
      <c r="D317" s="4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7"/>
      <c r="D318" s="4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7"/>
      <c r="D319" s="4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7"/>
      <c r="D320" s="4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7"/>
      <c r="D321" s="4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7"/>
      <c r="D322" s="4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7"/>
      <c r="D323" s="4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7"/>
      <c r="D324" s="4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7"/>
      <c r="D325" s="4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7"/>
      <c r="D326" s="4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7"/>
      <c r="D327" s="4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7"/>
      <c r="D328" s="4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7"/>
      <c r="D329" s="4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7"/>
      <c r="D330" s="4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7"/>
      <c r="D331" s="4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7"/>
      <c r="D332" s="4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7"/>
      <c r="D333" s="4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7"/>
      <c r="D334" s="4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7"/>
      <c r="D335" s="4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7"/>
      <c r="D336" s="4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7"/>
      <c r="D337" s="4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7"/>
      <c r="D338" s="4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7"/>
      <c r="D339" s="4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7"/>
      <c r="D340" s="4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7"/>
      <c r="D341" s="4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7"/>
      <c r="D342" s="4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7"/>
      <c r="D343" s="4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7"/>
      <c r="D344" s="4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7"/>
      <c r="D345" s="4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7"/>
      <c r="D346" s="4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7"/>
      <c r="D347" s="4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7"/>
      <c r="D348" s="4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7"/>
      <c r="D349" s="4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7"/>
      <c r="D350" s="4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7"/>
      <c r="D351" s="4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7"/>
      <c r="D352" s="4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7"/>
      <c r="D353" s="4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7"/>
      <c r="D354" s="4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7"/>
      <c r="D355" s="4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7"/>
      <c r="D356" s="4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7"/>
      <c r="D357" s="4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7"/>
      <c r="D358" s="4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7"/>
      <c r="D359" s="4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7"/>
      <c r="D360" s="4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7"/>
      <c r="D361" s="4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7"/>
      <c r="D362" s="4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7"/>
      <c r="D363" s="4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7"/>
      <c r="D364" s="4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7"/>
      <c r="D365" s="4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7"/>
      <c r="D366" s="4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7"/>
      <c r="D367" s="4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7"/>
      <c r="D368" s="4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7"/>
      <c r="D369" s="4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7"/>
      <c r="D370" s="4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7"/>
      <c r="D371" s="4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7"/>
      <c r="D372" s="4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7"/>
      <c r="D373" s="4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7"/>
      <c r="D374" s="4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7"/>
      <c r="D375" s="4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7"/>
      <c r="D376" s="4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7"/>
      <c r="D377" s="4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7"/>
      <c r="D378" s="4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7"/>
      <c r="D379" s="4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7"/>
      <c r="D380" s="4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7"/>
      <c r="D381" s="4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7"/>
      <c r="D382" s="4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7"/>
      <c r="D383" s="4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7"/>
      <c r="D384" s="4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7"/>
      <c r="D385" s="4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7"/>
      <c r="D386" s="4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7"/>
      <c r="D387" s="4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7"/>
      <c r="D388" s="4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7"/>
      <c r="D389" s="4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7"/>
      <c r="D390" s="4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7"/>
      <c r="D391" s="4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7"/>
      <c r="D392" s="4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7"/>
      <c r="D393" s="4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7"/>
      <c r="D394" s="4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7"/>
      <c r="D395" s="4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7"/>
      <c r="D396" s="4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7"/>
      <c r="D397" s="4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7"/>
      <c r="D398" s="4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7"/>
      <c r="D399" s="4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7"/>
      <c r="D400" s="4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7"/>
      <c r="D401" s="4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7"/>
      <c r="D402" s="4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7"/>
      <c r="D403" s="4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7"/>
      <c r="D404" s="4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7"/>
      <c r="D405" s="4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7"/>
      <c r="D406" s="4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7"/>
      <c r="D407" s="4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7"/>
      <c r="D408" s="4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7"/>
      <c r="D409" s="4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7"/>
      <c r="D410" s="4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7"/>
      <c r="D411" s="4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7"/>
      <c r="D412" s="4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7"/>
      <c r="D413" s="4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7"/>
      <c r="D414" s="4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7"/>
      <c r="D415" s="4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7"/>
      <c r="D416" s="4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7"/>
      <c r="D417" s="4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7"/>
      <c r="D418" s="4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7"/>
      <c r="D419" s="4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7"/>
      <c r="D420" s="4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7"/>
      <c r="D421" s="4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7"/>
      <c r="D422" s="4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7"/>
      <c r="D423" s="4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7"/>
      <c r="D424" s="4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7"/>
      <c r="D425" s="4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7"/>
      <c r="D426" s="4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7"/>
      <c r="D427" s="4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7"/>
      <c r="D428" s="4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7"/>
      <c r="D429" s="4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7"/>
      <c r="D430" s="4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7"/>
      <c r="D431" s="4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7"/>
      <c r="D432" s="4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7"/>
      <c r="D433" s="4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7"/>
      <c r="D434" s="4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7"/>
      <c r="D435" s="4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7"/>
      <c r="D436" s="4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7"/>
      <c r="D437" s="4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7"/>
      <c r="D438" s="4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7"/>
      <c r="D439" s="4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7"/>
      <c r="D440" s="4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7"/>
      <c r="D441" s="4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7"/>
      <c r="D442" s="4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7"/>
      <c r="D443" s="4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7"/>
      <c r="D444" s="4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7"/>
      <c r="D445" s="4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7"/>
      <c r="D446" s="4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7"/>
      <c r="D447" s="4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7"/>
      <c r="D448" s="4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7"/>
      <c r="D449" s="4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7"/>
      <c r="D450" s="4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7"/>
      <c r="D451" s="4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7"/>
      <c r="D452" s="4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7"/>
      <c r="D453" s="4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7"/>
      <c r="D454" s="4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7"/>
      <c r="D455" s="4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7"/>
      <c r="D456" s="4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7"/>
      <c r="D457" s="4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7"/>
      <c r="D458" s="4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7"/>
      <c r="D459" s="4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7"/>
      <c r="D460" s="4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7"/>
      <c r="D461" s="4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7"/>
      <c r="D462" s="4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7"/>
      <c r="D463" s="4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7"/>
      <c r="D464" s="4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7"/>
      <c r="D465" s="4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7"/>
      <c r="D466" s="4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7"/>
      <c r="D467" s="4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7"/>
      <c r="D468" s="4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7"/>
      <c r="D469" s="4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7"/>
      <c r="D470" s="4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7"/>
      <c r="D471" s="4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7"/>
      <c r="D472" s="4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7"/>
      <c r="D473" s="4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7"/>
      <c r="D474" s="4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7"/>
      <c r="D475" s="4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7"/>
      <c r="D476" s="4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7"/>
      <c r="D477" s="4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7"/>
      <c r="D478" s="4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7"/>
      <c r="D479" s="4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7"/>
      <c r="D480" s="4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7"/>
      <c r="D481" s="4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7"/>
      <c r="D482" s="4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7"/>
      <c r="D483" s="4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7"/>
      <c r="D484" s="4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7"/>
      <c r="D485" s="4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7"/>
      <c r="D486" s="4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7"/>
      <c r="D487" s="4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7"/>
      <c r="D488" s="4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7"/>
      <c r="D489" s="4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7"/>
      <c r="D490" s="4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7"/>
      <c r="D491" s="4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7"/>
      <c r="D492" s="4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7"/>
      <c r="D493" s="4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7"/>
      <c r="D494" s="4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7"/>
      <c r="D495" s="4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7"/>
      <c r="D496" s="4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7"/>
      <c r="D497" s="4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7"/>
      <c r="D498" s="4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7"/>
      <c r="D499" s="4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7"/>
      <c r="D500" s="4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7"/>
      <c r="D501" s="4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7"/>
      <c r="D502" s="4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7"/>
      <c r="D503" s="4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7"/>
      <c r="D504" s="4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7"/>
      <c r="D505" s="4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7"/>
      <c r="D506" s="4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7"/>
      <c r="D507" s="4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7"/>
      <c r="D508" s="4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7"/>
      <c r="D509" s="4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7"/>
      <c r="D510" s="4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7"/>
      <c r="D511" s="4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7"/>
      <c r="D512" s="4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7"/>
      <c r="D513" s="4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7"/>
      <c r="D514" s="4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7"/>
      <c r="D515" s="4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7"/>
      <c r="D516" s="4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7"/>
      <c r="D517" s="4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7"/>
      <c r="D518" s="4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7"/>
      <c r="D519" s="4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7"/>
      <c r="D520" s="4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7"/>
      <c r="D521" s="4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7"/>
      <c r="D522" s="4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7"/>
      <c r="D523" s="4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7"/>
      <c r="D524" s="4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7"/>
      <c r="D525" s="4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7"/>
      <c r="D526" s="4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7"/>
      <c r="D527" s="4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7"/>
      <c r="D528" s="4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7"/>
      <c r="D529" s="4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7"/>
      <c r="D530" s="4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7"/>
      <c r="D531" s="4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7"/>
      <c r="D532" s="4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7"/>
      <c r="D533" s="4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7"/>
      <c r="D534" s="4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7"/>
      <c r="D535" s="4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7"/>
      <c r="D536" s="4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7"/>
      <c r="D537" s="4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7"/>
      <c r="D538" s="4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7"/>
      <c r="D539" s="4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7"/>
      <c r="D540" s="4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7"/>
      <c r="D541" s="4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7"/>
      <c r="D542" s="4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7"/>
      <c r="D543" s="4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7"/>
      <c r="D544" s="4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7"/>
      <c r="D545" s="4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7"/>
      <c r="D546" s="4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7"/>
      <c r="D547" s="4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7"/>
      <c r="D548" s="4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7"/>
      <c r="D549" s="4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7"/>
      <c r="D550" s="4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7"/>
      <c r="D551" s="4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7"/>
      <c r="D552" s="4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7"/>
      <c r="D553" s="4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7"/>
      <c r="D554" s="4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7"/>
      <c r="D555" s="4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7"/>
      <c r="D556" s="4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7"/>
      <c r="D557" s="4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7"/>
      <c r="D558" s="4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7"/>
      <c r="D559" s="4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7"/>
      <c r="D560" s="4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7"/>
      <c r="D561" s="4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7"/>
      <c r="D562" s="4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7"/>
      <c r="D563" s="4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7"/>
      <c r="D564" s="4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7"/>
      <c r="D565" s="4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7"/>
      <c r="D566" s="4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7"/>
      <c r="D567" s="4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7"/>
      <c r="D568" s="4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7"/>
      <c r="D569" s="4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7"/>
      <c r="D570" s="4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7"/>
      <c r="D571" s="4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7"/>
      <c r="D572" s="4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7"/>
      <c r="D573" s="4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7"/>
      <c r="D574" s="4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7"/>
      <c r="D575" s="4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7"/>
      <c r="D576" s="4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7"/>
      <c r="D577" s="4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7"/>
      <c r="D578" s="4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7"/>
      <c r="D579" s="4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7"/>
      <c r="D580" s="4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7"/>
      <c r="D581" s="4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7"/>
      <c r="D582" s="4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7"/>
      <c r="D583" s="4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7"/>
      <c r="D584" s="4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7"/>
      <c r="D585" s="4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7"/>
      <c r="D586" s="4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7"/>
      <c r="D587" s="4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7"/>
      <c r="D588" s="4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7"/>
      <c r="D589" s="4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7"/>
      <c r="D590" s="4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7"/>
      <c r="D591" s="4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7"/>
      <c r="D592" s="4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7"/>
      <c r="D593" s="4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7"/>
      <c r="D594" s="4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7"/>
      <c r="D595" s="4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7"/>
      <c r="D596" s="4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7"/>
      <c r="D597" s="4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7"/>
      <c r="D598" s="4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7"/>
      <c r="D599" s="4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7"/>
      <c r="D600" s="4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7"/>
      <c r="D601" s="4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7"/>
      <c r="D602" s="4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7"/>
      <c r="D603" s="4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7"/>
      <c r="D604" s="4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7"/>
      <c r="D605" s="4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7"/>
      <c r="D606" s="4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7"/>
      <c r="D607" s="4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7"/>
      <c r="D608" s="4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7"/>
      <c r="D609" s="4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7"/>
      <c r="D610" s="4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7"/>
      <c r="D611" s="4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7"/>
      <c r="D612" s="4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7"/>
      <c r="D613" s="4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7"/>
      <c r="D614" s="4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7"/>
      <c r="D615" s="4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7"/>
      <c r="D616" s="4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7"/>
      <c r="D617" s="4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7"/>
      <c r="D618" s="4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7"/>
      <c r="D619" s="4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7"/>
      <c r="D620" s="4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7"/>
      <c r="D621" s="4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7"/>
      <c r="D622" s="4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7"/>
      <c r="D623" s="4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7"/>
      <c r="D624" s="4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7"/>
      <c r="D625" s="4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7"/>
      <c r="D626" s="4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7"/>
      <c r="D627" s="4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7"/>
      <c r="D628" s="4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7"/>
      <c r="D629" s="4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7"/>
      <c r="D630" s="4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7"/>
      <c r="D631" s="4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7"/>
      <c r="D632" s="4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7"/>
      <c r="D633" s="4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7"/>
      <c r="D634" s="4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7"/>
      <c r="D635" s="4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7"/>
      <c r="D636" s="4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7"/>
      <c r="D637" s="4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7"/>
      <c r="D638" s="4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7"/>
      <c r="D639" s="4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7"/>
      <c r="D640" s="4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7"/>
      <c r="D641" s="4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7"/>
      <c r="D642" s="4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7"/>
      <c r="D643" s="4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7"/>
      <c r="D644" s="4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7"/>
      <c r="D645" s="4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7"/>
      <c r="D646" s="4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7"/>
      <c r="D647" s="4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7"/>
      <c r="D648" s="4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7"/>
      <c r="D649" s="4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7"/>
      <c r="D650" s="4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7"/>
      <c r="D651" s="4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7"/>
      <c r="D652" s="4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7"/>
      <c r="D653" s="4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7"/>
      <c r="D654" s="4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7"/>
      <c r="D655" s="4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7"/>
      <c r="D656" s="4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7"/>
      <c r="D657" s="4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7"/>
      <c r="D658" s="4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7"/>
      <c r="D659" s="4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7"/>
      <c r="D660" s="4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7"/>
      <c r="D661" s="4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7"/>
      <c r="D662" s="4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7"/>
      <c r="D663" s="4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7"/>
      <c r="D664" s="4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7"/>
      <c r="D665" s="4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7"/>
      <c r="D666" s="4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7"/>
      <c r="D667" s="4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7"/>
      <c r="D668" s="4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7"/>
      <c r="D669" s="4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7"/>
      <c r="D670" s="4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7"/>
      <c r="D671" s="4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7"/>
      <c r="D672" s="4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7"/>
      <c r="D673" s="4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7"/>
      <c r="D674" s="4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7"/>
      <c r="D675" s="4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7"/>
      <c r="D676" s="4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7"/>
      <c r="D677" s="4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7"/>
      <c r="D678" s="4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7"/>
      <c r="D679" s="4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7"/>
      <c r="D680" s="4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7"/>
      <c r="D681" s="4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7"/>
      <c r="D682" s="4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7"/>
      <c r="D683" s="4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7"/>
      <c r="D684" s="4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7"/>
      <c r="D685" s="4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7"/>
      <c r="D686" s="4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7"/>
      <c r="D687" s="4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7"/>
      <c r="D688" s="4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7"/>
      <c r="D689" s="4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7"/>
      <c r="D690" s="4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7"/>
      <c r="D691" s="4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7"/>
      <c r="D692" s="4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7"/>
      <c r="D693" s="4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7"/>
      <c r="D694" s="4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7"/>
      <c r="D695" s="4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7"/>
      <c r="D696" s="4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7"/>
      <c r="D697" s="4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7"/>
      <c r="D698" s="4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7"/>
      <c r="D699" s="4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7"/>
      <c r="D700" s="4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7"/>
      <c r="D701" s="4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7"/>
      <c r="D702" s="4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7"/>
      <c r="D703" s="4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7"/>
      <c r="D704" s="4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7"/>
      <c r="D705" s="4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7"/>
      <c r="D706" s="4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7"/>
      <c r="D707" s="4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7"/>
      <c r="D708" s="4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7"/>
      <c r="D709" s="4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7"/>
      <c r="D710" s="4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7"/>
      <c r="D711" s="4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7"/>
      <c r="D712" s="4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7"/>
      <c r="D713" s="4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7"/>
      <c r="D714" s="4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7"/>
      <c r="D715" s="4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7"/>
      <c r="D716" s="4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7"/>
      <c r="D717" s="4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7"/>
      <c r="D718" s="4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7"/>
      <c r="D719" s="4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7"/>
      <c r="D720" s="4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7"/>
      <c r="D721" s="4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7"/>
      <c r="D722" s="4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7"/>
      <c r="D723" s="4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7"/>
      <c r="D724" s="4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7"/>
      <c r="D725" s="4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7"/>
      <c r="D726" s="4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7"/>
      <c r="D727" s="4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7"/>
      <c r="D728" s="4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7"/>
      <c r="D729" s="4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7"/>
      <c r="D730" s="4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7"/>
      <c r="D731" s="4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7"/>
      <c r="D732" s="4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7"/>
      <c r="D733" s="4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7"/>
      <c r="D734" s="4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7"/>
      <c r="D735" s="4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7"/>
      <c r="D736" s="4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7"/>
      <c r="D737" s="4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7"/>
      <c r="D738" s="4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7"/>
      <c r="D739" s="4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7"/>
      <c r="D740" s="4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7"/>
      <c r="D741" s="4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7"/>
      <c r="D742" s="4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7"/>
      <c r="D743" s="4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7"/>
      <c r="D744" s="4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7"/>
      <c r="D745" s="4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7"/>
      <c r="D746" s="4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7"/>
      <c r="D747" s="4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7"/>
      <c r="D748" s="4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7"/>
      <c r="D749" s="4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7"/>
      <c r="D750" s="4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7"/>
      <c r="D751" s="4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7"/>
      <c r="D752" s="4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7"/>
      <c r="D753" s="4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7"/>
      <c r="D754" s="4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7"/>
      <c r="D755" s="4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7"/>
      <c r="D756" s="4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7"/>
      <c r="D757" s="4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7"/>
      <c r="D758" s="4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7"/>
      <c r="D759" s="4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7"/>
      <c r="D760" s="4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7"/>
      <c r="D761" s="4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7"/>
      <c r="D762" s="4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7"/>
      <c r="D763" s="4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7"/>
      <c r="D764" s="4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7"/>
      <c r="D765" s="4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7"/>
      <c r="D766" s="4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7"/>
      <c r="D767" s="4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7"/>
      <c r="D768" s="4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7"/>
      <c r="D769" s="4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7"/>
      <c r="D770" s="4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7"/>
      <c r="D771" s="4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7"/>
      <c r="D772" s="4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7"/>
      <c r="D773" s="4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7"/>
      <c r="D774" s="4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7"/>
      <c r="D775" s="4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7"/>
      <c r="D776" s="4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7"/>
      <c r="D777" s="4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7"/>
      <c r="D778" s="4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7"/>
      <c r="D779" s="4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7"/>
      <c r="D780" s="4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7"/>
      <c r="D781" s="4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7"/>
      <c r="D782" s="4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7"/>
      <c r="D783" s="4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7"/>
      <c r="D784" s="4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7"/>
      <c r="D785" s="4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7"/>
      <c r="D786" s="4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7"/>
      <c r="D787" s="4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7"/>
      <c r="D788" s="4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7"/>
      <c r="D789" s="4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7"/>
      <c r="D790" s="4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7"/>
      <c r="D791" s="4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7"/>
      <c r="D792" s="4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7"/>
      <c r="D793" s="4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7"/>
      <c r="D794" s="4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7"/>
      <c r="D795" s="4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7"/>
      <c r="D796" s="4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7"/>
      <c r="D797" s="4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7"/>
      <c r="D798" s="4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7"/>
      <c r="D799" s="4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7"/>
      <c r="D800" s="4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7"/>
      <c r="D801" s="4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7"/>
      <c r="D802" s="4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7"/>
      <c r="D803" s="4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7"/>
      <c r="D804" s="4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7"/>
      <c r="D805" s="4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7"/>
      <c r="D806" s="4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7"/>
      <c r="D807" s="4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7"/>
      <c r="D808" s="4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7"/>
      <c r="D809" s="4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7"/>
      <c r="D810" s="4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7"/>
      <c r="D811" s="4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7"/>
      <c r="D812" s="4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7"/>
      <c r="D813" s="4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7"/>
      <c r="D814" s="4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7"/>
      <c r="D815" s="4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7"/>
      <c r="D816" s="4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7"/>
      <c r="D817" s="4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7"/>
      <c r="D818" s="4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7"/>
      <c r="D819" s="4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7"/>
      <c r="D820" s="4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7"/>
      <c r="D821" s="4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7"/>
      <c r="D822" s="4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7"/>
      <c r="D823" s="4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7"/>
      <c r="D824" s="4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7"/>
      <c r="D825" s="4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7"/>
      <c r="D826" s="4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7"/>
      <c r="D827" s="4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7"/>
      <c r="D828" s="4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7"/>
      <c r="D829" s="4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7"/>
      <c r="D830" s="4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7"/>
      <c r="D831" s="4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7"/>
      <c r="D832" s="4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7"/>
      <c r="D833" s="4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7"/>
      <c r="D834" s="4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7"/>
      <c r="D835" s="4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7"/>
      <c r="D836" s="4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7"/>
      <c r="D837" s="4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7"/>
      <c r="D838" s="4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7"/>
      <c r="D839" s="4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7"/>
      <c r="D840" s="4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7"/>
      <c r="D841" s="4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7"/>
      <c r="D842" s="4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7"/>
      <c r="D843" s="4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7"/>
      <c r="D844" s="4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7"/>
      <c r="D845" s="4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7"/>
      <c r="D846" s="4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7"/>
      <c r="D847" s="4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7"/>
      <c r="D848" s="4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7"/>
      <c r="D849" s="4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7"/>
      <c r="D850" s="4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7"/>
      <c r="D851" s="4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7"/>
      <c r="D852" s="4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7"/>
      <c r="D853" s="4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7"/>
      <c r="D854" s="4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7"/>
      <c r="D855" s="4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7"/>
      <c r="D856" s="4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7"/>
      <c r="D857" s="4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7"/>
      <c r="D858" s="4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7"/>
      <c r="D859" s="4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7"/>
      <c r="D860" s="4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7"/>
      <c r="D861" s="4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7"/>
      <c r="D862" s="4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7"/>
      <c r="D863" s="4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7"/>
      <c r="D864" s="4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7"/>
      <c r="D865" s="4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7"/>
      <c r="D866" s="4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7"/>
      <c r="D867" s="4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7"/>
      <c r="D868" s="4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7"/>
      <c r="D869" s="4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7"/>
      <c r="D870" s="4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7"/>
      <c r="D871" s="4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7"/>
      <c r="D872" s="4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7"/>
      <c r="D873" s="4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7"/>
      <c r="D874" s="4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7"/>
      <c r="D875" s="4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7"/>
      <c r="D876" s="4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7"/>
      <c r="D877" s="4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7"/>
      <c r="D878" s="4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7"/>
      <c r="D879" s="4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7"/>
      <c r="D880" s="4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7"/>
      <c r="D881" s="4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7"/>
      <c r="D882" s="4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7"/>
      <c r="D883" s="4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7"/>
      <c r="D884" s="4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7"/>
      <c r="D885" s="4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7"/>
      <c r="D886" s="4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7"/>
      <c r="D887" s="4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7"/>
      <c r="D888" s="4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7"/>
      <c r="D889" s="4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7"/>
      <c r="D890" s="4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7"/>
      <c r="D891" s="4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7"/>
      <c r="D892" s="4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7"/>
      <c r="D893" s="4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7"/>
      <c r="D894" s="4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7"/>
      <c r="D895" s="4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7"/>
      <c r="D896" s="4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7"/>
      <c r="D897" s="4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7"/>
      <c r="D898" s="4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7"/>
      <c r="D899" s="4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7"/>
      <c r="D900" s="4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7"/>
      <c r="D901" s="4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7"/>
      <c r="D902" s="4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7"/>
      <c r="D903" s="4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7"/>
      <c r="D904" s="4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7"/>
      <c r="D905" s="4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7"/>
      <c r="D906" s="4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7"/>
      <c r="D907" s="4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7"/>
      <c r="D908" s="4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7"/>
      <c r="D909" s="4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7"/>
      <c r="D910" s="4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7"/>
      <c r="D911" s="4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7"/>
      <c r="D912" s="4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7"/>
      <c r="D913" s="4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7"/>
      <c r="D914" s="4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7"/>
      <c r="D915" s="4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7"/>
      <c r="D916" s="4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7"/>
      <c r="D917" s="4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7"/>
      <c r="D918" s="4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7"/>
      <c r="D919" s="4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7"/>
      <c r="D920" s="4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7"/>
      <c r="D921" s="4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7"/>
      <c r="D922" s="4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7"/>
      <c r="D923" s="4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7"/>
      <c r="D924" s="4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7"/>
      <c r="D925" s="4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7"/>
      <c r="D926" s="4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7"/>
      <c r="D927" s="4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7"/>
      <c r="D928" s="4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7"/>
      <c r="D929" s="4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7"/>
      <c r="D930" s="4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7"/>
      <c r="D931" s="4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7"/>
      <c r="D932" s="4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7"/>
      <c r="D933" s="4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7"/>
      <c r="D934" s="4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7"/>
      <c r="D935" s="4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7"/>
      <c r="D936" s="4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7"/>
      <c r="D937" s="4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7"/>
      <c r="D938" s="4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7"/>
      <c r="D939" s="4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7"/>
      <c r="D940" s="4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7"/>
      <c r="D941" s="4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7"/>
      <c r="D942" s="4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7"/>
      <c r="D943" s="4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7"/>
      <c r="D944" s="4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7"/>
      <c r="D945" s="4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7"/>
      <c r="D946" s="4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7"/>
      <c r="D947" s="4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7"/>
      <c r="D948" s="4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7"/>
      <c r="D949" s="4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7"/>
      <c r="D950" s="4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7"/>
      <c r="D951" s="4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7"/>
      <c r="D952" s="4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7"/>
      <c r="D953" s="4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7"/>
      <c r="D954" s="4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7"/>
      <c r="D955" s="4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7"/>
      <c r="D956" s="4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7"/>
      <c r="D957" s="4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7"/>
      <c r="D958" s="4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7"/>
      <c r="D959" s="4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7"/>
      <c r="D960" s="4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7"/>
      <c r="D961" s="4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7"/>
      <c r="D962" s="4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7"/>
      <c r="D963" s="4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7"/>
      <c r="D964" s="4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7"/>
      <c r="D965" s="4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7"/>
      <c r="D966" s="4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7"/>
      <c r="D967" s="4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7"/>
      <c r="D968" s="4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7"/>
      <c r="D969" s="4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7"/>
      <c r="D970" s="4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7"/>
      <c r="D971" s="4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7"/>
      <c r="D972" s="4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7"/>
      <c r="D973" s="4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7"/>
      <c r="D974" s="4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7"/>
      <c r="D975" s="4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7"/>
      <c r="D976" s="4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7"/>
      <c r="D977" s="4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7"/>
      <c r="D978" s="4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7"/>
      <c r="D979" s="4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7"/>
      <c r="D980" s="4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7"/>
      <c r="D981" s="4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7"/>
      <c r="D982" s="4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7"/>
      <c r="D983" s="4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7"/>
      <c r="D984" s="4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7"/>
      <c r="D985" s="4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7"/>
      <c r="D986" s="4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7"/>
      <c r="D987" s="4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7"/>
      <c r="D988" s="4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7"/>
      <c r="D989" s="4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7"/>
      <c r="D990" s="4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7"/>
      <c r="D991" s="4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7"/>
      <c r="D992" s="4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7"/>
      <c r="D993" s="4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7"/>
      <c r="D994" s="4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7"/>
      <c r="D995" s="4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7"/>
      <c r="D996" s="4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7"/>
      <c r="D997" s="4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7"/>
      <c r="D998" s="4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7"/>
      <c r="D999" s="4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7"/>
      <c r="D1000" s="4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3">
    <mergeCell ref="A1:C1"/>
    <mergeCell ref="A42:B42"/>
    <mergeCell ref="C42:D42"/>
  </mergeCells>
  <dataValidations>
    <dataValidation type="list" allowBlank="1" showErrorMessage="1" sqref="B3">
      <formula1>Shortcuts!$A$7:$A$160</formula1>
    </dataValidation>
    <dataValidation type="list" allowBlank="1" showErrorMessage="1" sqref="D3">
      <formula1>Shortcuts!$B$6:$C$6</formula1>
    </dataValidation>
  </dataValidations>
  <hyperlinks>
    <hyperlink r:id="rId1" ref="A15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sheetData>
    <row r="3">
      <c r="D3" s="55"/>
      <c r="E3" s="55"/>
    </row>
    <row r="5">
      <c r="E5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13"/>
    <col customWidth="1" min="8" max="8" width="13.38"/>
  </cols>
  <sheetData>
    <row r="1">
      <c r="A1" s="56" t="s">
        <v>455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B2" s="57" t="s">
        <v>456</v>
      </c>
      <c r="C2" s="17"/>
      <c r="D2" s="17"/>
      <c r="E2" s="17"/>
      <c r="F2" s="17"/>
      <c r="I2" s="17"/>
      <c r="J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L5" s="57" t="s">
        <v>457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G7" s="57" t="s">
        <v>458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0" t="s">
        <v>459</v>
      </c>
      <c r="B11" s="61" t="s">
        <v>460</v>
      </c>
      <c r="C11" s="17"/>
      <c r="D11" s="17"/>
      <c r="E11" s="17"/>
      <c r="F11" s="17"/>
      <c r="G11" s="17"/>
      <c r="H11" s="62" t="s">
        <v>461</v>
      </c>
      <c r="I11" s="17"/>
      <c r="J11" s="17"/>
      <c r="K11" s="17"/>
      <c r="L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B12" s="63">
        <v>16.0</v>
      </c>
      <c r="C12" s="17"/>
      <c r="D12" s="64">
        <v>16.0</v>
      </c>
      <c r="E12" s="65">
        <v>37.0</v>
      </c>
      <c r="F12" s="65">
        <v>43.0</v>
      </c>
      <c r="G12" s="65">
        <v>5.0</v>
      </c>
      <c r="H12" s="65">
        <v>5.0</v>
      </c>
      <c r="I12" s="65">
        <v>8.0</v>
      </c>
      <c r="J12" s="65">
        <v>21.0</v>
      </c>
      <c r="K12" s="65">
        <v>48.0</v>
      </c>
      <c r="L12" s="66" t="s">
        <v>462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B13" s="67">
        <v>37.0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B14" s="67">
        <v>43.0</v>
      </c>
      <c r="C14" s="17"/>
      <c r="D14" s="17"/>
      <c r="E14" s="17"/>
      <c r="G14" s="17"/>
      <c r="H14" s="17"/>
      <c r="I14" s="17"/>
      <c r="J14" s="17"/>
      <c r="K14" s="17"/>
      <c r="L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B15" s="67">
        <v>5.0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B16" s="67">
        <v>5.0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B17" s="67">
        <v>8.0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B18" s="67">
        <v>21.0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B19" s="67">
        <v>48.0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B20" s="67">
        <v>46.0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B21" s="68">
        <v>25.0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69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69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70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60" t="s">
        <v>463</v>
      </c>
      <c r="B24" s="17"/>
      <c r="C24" s="17"/>
      <c r="D24" s="17"/>
      <c r="E24" s="17"/>
      <c r="F24" s="17"/>
      <c r="G24" s="61" t="s">
        <v>464</v>
      </c>
      <c r="H24" s="17"/>
      <c r="I24" s="17"/>
      <c r="J24" s="17"/>
      <c r="K24" s="17"/>
      <c r="L24" s="17"/>
      <c r="M24" s="69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B25" s="71">
        <v>14.0</v>
      </c>
      <c r="C25" s="72">
        <v>39.0</v>
      </c>
      <c r="D25" s="72">
        <v>6.0</v>
      </c>
      <c r="E25" s="72">
        <v>16.0</v>
      </c>
      <c r="F25" s="72">
        <v>31.0</v>
      </c>
      <c r="G25" s="72">
        <v>13.0</v>
      </c>
      <c r="H25" s="72">
        <v>36.0</v>
      </c>
      <c r="I25" s="72">
        <v>20.0</v>
      </c>
      <c r="J25" s="72">
        <v>16.0</v>
      </c>
      <c r="K25" s="72">
        <v>24.0</v>
      </c>
      <c r="L25" s="73">
        <v>42.0</v>
      </c>
      <c r="M25" s="69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B26" s="74">
        <v>33.0</v>
      </c>
      <c r="C26" s="75">
        <v>22.0</v>
      </c>
      <c r="D26" s="75">
        <v>36.0</v>
      </c>
      <c r="E26" s="75">
        <v>50.0</v>
      </c>
      <c r="F26" s="75">
        <v>39.0</v>
      </c>
      <c r="G26" s="75">
        <v>35.0</v>
      </c>
      <c r="H26" s="75">
        <v>50.0</v>
      </c>
      <c r="I26" s="75">
        <v>49.0</v>
      </c>
      <c r="J26" s="75">
        <v>33.0</v>
      </c>
      <c r="K26" s="75">
        <v>30.0</v>
      </c>
      <c r="L26" s="76">
        <v>46.0</v>
      </c>
      <c r="M26" s="69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B27" s="74">
        <v>7.0</v>
      </c>
      <c r="C27" s="75">
        <v>33.0</v>
      </c>
      <c r="D27" s="75">
        <v>32.0</v>
      </c>
      <c r="E27" s="75">
        <v>20.0</v>
      </c>
      <c r="F27" s="75">
        <v>46.0</v>
      </c>
      <c r="G27" s="75">
        <v>39.0</v>
      </c>
      <c r="H27" s="75">
        <v>23.0</v>
      </c>
      <c r="I27" s="75">
        <v>24.0</v>
      </c>
      <c r="J27" s="75">
        <v>9.0</v>
      </c>
      <c r="K27" s="75">
        <v>4.0</v>
      </c>
      <c r="L27" s="76">
        <v>7.0</v>
      </c>
      <c r="M27" s="69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B28" s="74">
        <v>46.0</v>
      </c>
      <c r="C28" s="75">
        <v>35.0</v>
      </c>
      <c r="D28" s="75">
        <v>24.0</v>
      </c>
      <c r="E28" s="75">
        <v>43.0</v>
      </c>
      <c r="F28" s="75">
        <v>35.0</v>
      </c>
      <c r="G28" s="75">
        <v>11.0</v>
      </c>
      <c r="H28" s="75">
        <v>43.0</v>
      </c>
      <c r="I28" s="75">
        <v>24.0</v>
      </c>
      <c r="J28" s="75">
        <v>14.0</v>
      </c>
      <c r="K28" s="75">
        <v>24.0</v>
      </c>
      <c r="L28" s="76">
        <v>28.0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B29" s="74">
        <v>42.0</v>
      </c>
      <c r="C29" s="75">
        <v>21.0</v>
      </c>
      <c r="D29" s="75">
        <v>4.0</v>
      </c>
      <c r="E29" s="75">
        <v>29.0</v>
      </c>
      <c r="F29" s="75">
        <v>39.0</v>
      </c>
      <c r="G29" s="75">
        <v>16.0</v>
      </c>
      <c r="H29" s="75">
        <v>30.0</v>
      </c>
      <c r="I29" s="75">
        <v>31.0</v>
      </c>
      <c r="J29" s="75">
        <v>37.0</v>
      </c>
      <c r="K29" s="75">
        <v>9.0</v>
      </c>
      <c r="L29" s="76">
        <v>39.0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B30" s="74">
        <v>21.0</v>
      </c>
      <c r="C30" s="75">
        <v>16.0</v>
      </c>
      <c r="D30" s="75">
        <v>31.0</v>
      </c>
      <c r="E30" s="75">
        <v>16.0</v>
      </c>
      <c r="F30" s="75">
        <v>4.0</v>
      </c>
      <c r="G30" s="75">
        <v>23.0</v>
      </c>
      <c r="H30" s="75">
        <v>23.0</v>
      </c>
      <c r="I30" s="75">
        <v>19.0</v>
      </c>
      <c r="J30" s="75">
        <v>34.0</v>
      </c>
      <c r="K30" s="75">
        <v>12.0</v>
      </c>
      <c r="L30" s="76">
        <v>20.0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B31" s="74">
        <v>45.0</v>
      </c>
      <c r="C31" s="75">
        <v>31.0</v>
      </c>
      <c r="D31" s="75">
        <v>43.0</v>
      </c>
      <c r="E31" s="75">
        <v>46.0</v>
      </c>
      <c r="F31" s="75">
        <v>29.0</v>
      </c>
      <c r="G31" s="75">
        <v>23.0</v>
      </c>
      <c r="H31" s="75">
        <v>26.0</v>
      </c>
      <c r="I31" s="75">
        <v>45.0</v>
      </c>
      <c r="J31" s="75">
        <v>25.0</v>
      </c>
      <c r="K31" s="75">
        <v>24.0</v>
      </c>
      <c r="L31" s="76">
        <v>19.0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B32" s="74">
        <v>15.0</v>
      </c>
      <c r="C32" s="75">
        <v>9.0</v>
      </c>
      <c r="D32" s="75">
        <v>19.0</v>
      </c>
      <c r="E32" s="75">
        <v>26.0</v>
      </c>
      <c r="F32" s="75">
        <v>49.0</v>
      </c>
      <c r="G32" s="75">
        <v>47.0</v>
      </c>
      <c r="H32" s="75">
        <v>40.0</v>
      </c>
      <c r="I32" s="75">
        <v>21.0</v>
      </c>
      <c r="J32" s="75">
        <v>12.0</v>
      </c>
      <c r="K32" s="75">
        <v>10.0</v>
      </c>
      <c r="L32" s="76">
        <v>46.0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B33" s="74">
        <v>4.0</v>
      </c>
      <c r="C33" s="75">
        <v>31.0</v>
      </c>
      <c r="D33" s="75">
        <v>30.0</v>
      </c>
      <c r="E33" s="75">
        <v>33.0</v>
      </c>
      <c r="F33" s="75">
        <v>17.0</v>
      </c>
      <c r="G33" s="75">
        <v>22.0</v>
      </c>
      <c r="H33" s="75">
        <v>39.0</v>
      </c>
      <c r="I33" s="75">
        <v>35.0</v>
      </c>
      <c r="J33" s="75">
        <v>39.0</v>
      </c>
      <c r="K33" s="75">
        <v>40.0</v>
      </c>
      <c r="L33" s="76">
        <v>47.0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B34" s="77">
        <v>42.0</v>
      </c>
      <c r="C34" s="78">
        <v>7.0</v>
      </c>
      <c r="D34" s="78">
        <v>25.0</v>
      </c>
      <c r="E34" s="78">
        <v>46.0</v>
      </c>
      <c r="F34" s="78">
        <v>48.0</v>
      </c>
      <c r="G34" s="78">
        <v>38.0</v>
      </c>
      <c r="H34" s="78">
        <v>39.0</v>
      </c>
      <c r="I34" s="78">
        <v>22.0</v>
      </c>
      <c r="J34" s="78">
        <v>20.0</v>
      </c>
      <c r="K34" s="78">
        <v>15.0</v>
      </c>
      <c r="L34" s="79">
        <v>4.0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3">
    <mergeCell ref="A1:A9"/>
    <mergeCell ref="A11:A22"/>
    <mergeCell ref="A24:A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8" max="8" width="7.63"/>
  </cols>
  <sheetData>
    <row r="1">
      <c r="A1" s="80" t="s">
        <v>465</v>
      </c>
      <c r="B1" s="4"/>
      <c r="D1" s="4"/>
      <c r="F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4"/>
      <c r="C2" s="81" t="s">
        <v>466</v>
      </c>
      <c r="D2" s="82"/>
      <c r="E2" s="81" t="s">
        <v>467</v>
      </c>
      <c r="F2" s="82"/>
      <c r="G2" s="81" t="s">
        <v>468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4"/>
      <c r="C3" s="83" t="s">
        <v>469</v>
      </c>
      <c r="D3" s="82"/>
      <c r="E3" s="83" t="s">
        <v>470</v>
      </c>
      <c r="F3" s="82"/>
      <c r="G3" s="83" t="s">
        <v>471</v>
      </c>
      <c r="H3" s="8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4"/>
      <c r="C4" s="83" t="s">
        <v>472</v>
      </c>
      <c r="D4" s="82"/>
      <c r="E4" s="83" t="s">
        <v>473</v>
      </c>
      <c r="F4" s="82"/>
      <c r="G4" s="83" t="s">
        <v>474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4"/>
      <c r="C5" s="83" t="s">
        <v>475</v>
      </c>
      <c r="D5" s="82"/>
      <c r="E5" s="83" t="s">
        <v>476</v>
      </c>
      <c r="F5" s="82"/>
      <c r="G5" s="83" t="s">
        <v>477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4"/>
      <c r="C6" s="83" t="s">
        <v>478</v>
      </c>
      <c r="D6" s="82"/>
      <c r="E6" s="83" t="s">
        <v>479</v>
      </c>
      <c r="F6" s="82"/>
      <c r="G6" s="83" t="s">
        <v>480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5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80" t="s">
        <v>481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4"/>
      <c r="C11" s="40" t="s">
        <v>482</v>
      </c>
      <c r="D11" s="4"/>
      <c r="E11" s="81" t="s">
        <v>467</v>
      </c>
      <c r="F11" s="4"/>
      <c r="G11" s="81" t="s">
        <v>483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4"/>
      <c r="C12" s="87">
        <v>100.0</v>
      </c>
      <c r="D12" s="4"/>
      <c r="E12" s="88">
        <v>43101.0</v>
      </c>
      <c r="F12" s="4"/>
      <c r="G12" s="89">
        <v>43101.0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4"/>
      <c r="C13" s="87">
        <v>200.0</v>
      </c>
      <c r="D13" s="4"/>
      <c r="E13" s="88">
        <v>43191.0</v>
      </c>
      <c r="F13" s="4"/>
      <c r="G13" s="89">
        <v>43271.0</v>
      </c>
      <c r="H13" s="4"/>
      <c r="I13" s="90" t="s">
        <v>484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4"/>
      <c r="C14" s="87">
        <v>400.0</v>
      </c>
      <c r="D14" s="4"/>
      <c r="E14" s="88">
        <v>43282.0</v>
      </c>
      <c r="F14" s="4"/>
      <c r="G14" s="89">
        <v>43202.0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4"/>
      <c r="C15" s="87">
        <v>600.0</v>
      </c>
      <c r="D15" s="4"/>
      <c r="E15" s="89">
        <v>43374.0</v>
      </c>
      <c r="F15" s="4"/>
      <c r="G15" s="89">
        <v>43322.0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4"/>
      <c r="C16" s="4"/>
      <c r="D16" s="4"/>
      <c r="E16" s="4"/>
      <c r="F16" s="4"/>
      <c r="G16" s="9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80" t="s">
        <v>485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4"/>
      <c r="C21" s="40" t="s">
        <v>486</v>
      </c>
      <c r="D21" s="4"/>
      <c r="E21" s="40" t="s">
        <v>487</v>
      </c>
      <c r="F21" s="4"/>
      <c r="G21" s="40" t="s">
        <v>488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B22" s="4"/>
      <c r="C22" s="92">
        <f>SUM(C12:C15)</f>
        <v>1300</v>
      </c>
      <c r="D22" s="4"/>
      <c r="E22" s="93">
        <f>(G13-G12)*C22</f>
        <v>221000</v>
      </c>
      <c r="F22" s="4"/>
      <c r="G22" s="93">
        <f>PRODUCT(AVERAGE(C12:C15),G14-G12-200)</f>
        <v>-32175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B23" s="4"/>
      <c r="C23" s="4"/>
      <c r="D23" s="4"/>
      <c r="E23" s="8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</sheetData>
  <mergeCells count="3">
    <mergeCell ref="A1:A7"/>
    <mergeCell ref="A10:A16"/>
    <mergeCell ref="A19:A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8.13"/>
    <col customWidth="1" min="2" max="2" width="22.38"/>
    <col customWidth="1" min="3" max="3" width="19.13"/>
    <col customWidth="1" min="5" max="5" width="3.63"/>
    <col customWidth="1" min="6" max="6" width="17.88"/>
    <col customWidth="1" min="11" max="11" width="15.63"/>
    <col customWidth="1" min="15" max="15" width="21.63"/>
    <col customWidth="1" min="16" max="16" width="22.5"/>
    <col customWidth="1" min="17" max="17" width="14.0"/>
    <col customWidth="1" min="18" max="18" width="16.38"/>
  </cols>
  <sheetData>
    <row r="1">
      <c r="A1" s="94" t="s">
        <v>489</v>
      </c>
      <c r="B1" s="95"/>
      <c r="C1" s="95"/>
      <c r="D1" s="17"/>
      <c r="E1" s="96"/>
      <c r="F1" s="17"/>
      <c r="G1" s="17"/>
      <c r="H1" s="97" t="s">
        <v>490</v>
      </c>
      <c r="I1" s="17"/>
      <c r="J1" s="17"/>
      <c r="K1" s="17"/>
      <c r="L1" s="17"/>
      <c r="M1" s="97" t="s">
        <v>491</v>
      </c>
      <c r="O1" s="98" t="s">
        <v>492</v>
      </c>
      <c r="P1" s="98" t="s">
        <v>493</v>
      </c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7"/>
      <c r="B2" s="17"/>
      <c r="C2" s="17"/>
      <c r="D2" s="17"/>
      <c r="E2" s="96"/>
      <c r="F2" s="17"/>
      <c r="G2" s="17"/>
      <c r="H2" s="17"/>
      <c r="I2" s="17"/>
      <c r="J2" s="17"/>
      <c r="K2" s="99" t="s">
        <v>494</v>
      </c>
      <c r="L2" s="17"/>
      <c r="M2" s="17"/>
      <c r="N2" s="17"/>
      <c r="O2" s="98" t="s">
        <v>495</v>
      </c>
      <c r="P2" s="98" t="s">
        <v>496</v>
      </c>
      <c r="Q2" s="17"/>
      <c r="R2" s="98" t="s">
        <v>497</v>
      </c>
      <c r="S2" s="17"/>
      <c r="T2" s="17"/>
      <c r="U2" s="17"/>
      <c r="V2" s="17"/>
      <c r="W2" s="17"/>
      <c r="X2" s="17"/>
      <c r="Y2" s="17"/>
      <c r="Z2" s="17"/>
      <c r="AA2" s="17"/>
    </row>
    <row r="3">
      <c r="A3" s="100" t="s">
        <v>498</v>
      </c>
      <c r="B3" s="101"/>
      <c r="C3" s="101"/>
      <c r="D3" s="17"/>
      <c r="E3" s="96"/>
      <c r="F3" s="17"/>
      <c r="G3" s="13" t="s">
        <v>14</v>
      </c>
      <c r="H3" s="102" t="s">
        <v>499</v>
      </c>
      <c r="I3" s="15" t="s">
        <v>500</v>
      </c>
      <c r="J3" s="17"/>
      <c r="K3" s="103" t="s">
        <v>14</v>
      </c>
      <c r="L3" s="102" t="s">
        <v>499</v>
      </c>
      <c r="M3" s="13" t="s">
        <v>500</v>
      </c>
      <c r="N3" s="104" t="s">
        <v>501</v>
      </c>
      <c r="O3" s="105" t="s">
        <v>502</v>
      </c>
      <c r="P3" s="104" t="s">
        <v>503</v>
      </c>
      <c r="R3" s="105" t="s">
        <v>504</v>
      </c>
      <c r="S3" s="17"/>
      <c r="T3" s="17"/>
      <c r="U3" s="17"/>
      <c r="V3" s="17"/>
      <c r="W3" s="17"/>
      <c r="X3" s="17"/>
      <c r="Y3" s="17"/>
      <c r="Z3" s="17"/>
      <c r="AA3" s="17"/>
    </row>
    <row r="4">
      <c r="A4" s="15" t="s">
        <v>134</v>
      </c>
      <c r="B4" s="15" t="s">
        <v>135</v>
      </c>
      <c r="C4" s="15" t="s">
        <v>133</v>
      </c>
      <c r="D4" s="17"/>
      <c r="E4" s="96"/>
      <c r="F4" s="17"/>
      <c r="G4" s="22">
        <v>1.0</v>
      </c>
      <c r="H4" s="69" t="s">
        <v>505</v>
      </c>
      <c r="I4" s="17">
        <v>7.0</v>
      </c>
      <c r="J4" s="17"/>
      <c r="K4" s="22">
        <v>1.0</v>
      </c>
      <c r="L4" s="69" t="str">
        <f t="shared" ref="L4:L103" si="1">CONCATENATE("Order ",K4)</f>
        <v>Order 1</v>
      </c>
      <c r="M4" s="17">
        <v>19.0</v>
      </c>
      <c r="N4" s="106">
        <f t="shared" ref="N4:N103" si="2">M4*$R$4</f>
        <v>23.75</v>
      </c>
      <c r="O4" s="107">
        <v>0.17</v>
      </c>
      <c r="P4" s="108">
        <f t="shared" ref="P4:P103" si="3">N4+(N4*O4)</f>
        <v>27.7875</v>
      </c>
      <c r="R4" s="109">
        <v>1.25</v>
      </c>
      <c r="S4" s="17"/>
      <c r="T4" s="17"/>
      <c r="U4" s="17"/>
      <c r="V4" s="17"/>
      <c r="W4" s="17"/>
      <c r="X4" s="17"/>
      <c r="Y4" s="17"/>
      <c r="Z4" s="17"/>
      <c r="AA4" s="17"/>
    </row>
    <row r="5">
      <c r="A5" s="110" t="str">
        <f>Shortcuts!A7</f>
        <v>Show common keyboard shortcuts</v>
      </c>
      <c r="B5" s="111" t="str">
        <f>Shortcuts!B7</f>
        <v>⌘ + /</v>
      </c>
      <c r="C5" s="111" t="str">
        <f>Shortcuts!C7</f>
        <v>Ctrl + /</v>
      </c>
      <c r="D5" s="17"/>
      <c r="E5" s="96"/>
      <c r="F5" s="17"/>
      <c r="G5" s="22">
        <v>2.0</v>
      </c>
      <c r="H5" s="69" t="s">
        <v>506</v>
      </c>
      <c r="I5" s="17">
        <v>6.0</v>
      </c>
      <c r="J5" s="17"/>
      <c r="K5" s="22">
        <f t="shared" ref="K5:K103" si="4">K4+1</f>
        <v>2</v>
      </c>
      <c r="L5" s="69" t="str">
        <f t="shared" si="1"/>
        <v>Order 2</v>
      </c>
      <c r="M5" s="17">
        <v>13.0</v>
      </c>
      <c r="N5" s="106">
        <f t="shared" si="2"/>
        <v>16.25</v>
      </c>
      <c r="O5" s="107">
        <v>0.18</v>
      </c>
      <c r="P5" s="108">
        <f t="shared" si="3"/>
        <v>19.175</v>
      </c>
      <c r="Q5" s="17"/>
      <c r="U5" s="17"/>
      <c r="V5" s="17"/>
      <c r="W5" s="17"/>
      <c r="X5" s="17"/>
      <c r="Y5" s="17"/>
      <c r="Z5" s="17"/>
      <c r="AA5" s="17"/>
    </row>
    <row r="6">
      <c r="A6" s="110" t="str">
        <f>Shortcuts!A8</f>
        <v>Move to beginning of sheet</v>
      </c>
      <c r="B6" s="111" t="str">
        <f>Shortcuts!B8</f>
        <v>⌘ + Fn + Left arrow</v>
      </c>
      <c r="C6" s="111" t="str">
        <f>Shortcuts!C8</f>
        <v>Ctrl + Home</v>
      </c>
      <c r="D6" s="17"/>
      <c r="E6" s="96"/>
      <c r="F6" s="17"/>
      <c r="G6" s="22">
        <v>3.0</v>
      </c>
      <c r="H6" s="69" t="s">
        <v>507</v>
      </c>
      <c r="I6" s="17">
        <v>8.0</v>
      </c>
      <c r="J6" s="17"/>
      <c r="K6" s="22">
        <f t="shared" si="4"/>
        <v>3</v>
      </c>
      <c r="L6" s="69" t="str">
        <f t="shared" si="1"/>
        <v>Order 3</v>
      </c>
      <c r="M6" s="17">
        <v>19.0</v>
      </c>
      <c r="N6" s="106">
        <f t="shared" si="2"/>
        <v>23.75</v>
      </c>
      <c r="O6" s="107">
        <v>0.15</v>
      </c>
      <c r="P6" s="108">
        <f t="shared" si="3"/>
        <v>27.3125</v>
      </c>
      <c r="Q6" s="17"/>
      <c r="U6" s="17"/>
      <c r="V6" s="17"/>
      <c r="W6" s="17"/>
      <c r="X6" s="17"/>
      <c r="Y6" s="17"/>
      <c r="Z6" s="17"/>
      <c r="AA6" s="17"/>
    </row>
    <row r="7">
      <c r="A7" s="110" t="str">
        <f>Shortcuts!A9</f>
        <v>Move to end of row</v>
      </c>
      <c r="B7" s="112" t="str">
        <f>Shortcuts!B9</f>
        <v>⌘ + Directional Arrows</v>
      </c>
      <c r="C7" s="111" t="str">
        <f>Shortcuts!C9</f>
        <v>End</v>
      </c>
      <c r="D7" s="17"/>
      <c r="E7" s="96"/>
      <c r="F7" s="17"/>
      <c r="G7" s="22">
        <v>4.0</v>
      </c>
      <c r="H7" s="69" t="s">
        <v>508</v>
      </c>
      <c r="I7" s="17">
        <v>5.0</v>
      </c>
      <c r="J7" s="17"/>
      <c r="K7" s="22">
        <f t="shared" si="4"/>
        <v>4</v>
      </c>
      <c r="L7" s="69" t="str">
        <f t="shared" si="1"/>
        <v>Order 4</v>
      </c>
      <c r="M7" s="17">
        <v>18.0</v>
      </c>
      <c r="N7" s="106">
        <f t="shared" si="2"/>
        <v>22.5</v>
      </c>
      <c r="O7" s="107">
        <v>0.18</v>
      </c>
      <c r="P7" s="108">
        <f t="shared" si="3"/>
        <v>26.55</v>
      </c>
      <c r="Q7" s="17"/>
      <c r="U7" s="17"/>
      <c r="V7" s="17"/>
      <c r="W7" s="17"/>
      <c r="X7" s="17"/>
      <c r="Y7" s="17"/>
      <c r="Z7" s="17"/>
      <c r="AA7" s="17"/>
    </row>
    <row r="8">
      <c r="A8" s="113" t="str">
        <f>Shortcuts!A10</f>
        <v>Move to next sheet</v>
      </c>
      <c r="B8" s="112" t="str">
        <f>Shortcuts!B10</f>
        <v>⌘ + Shift + Fn + Down arrow</v>
      </c>
      <c r="C8" s="111" t="str">
        <f>Shortcuts!C10</f>
        <v>Ctrl + Shift + Page Down</v>
      </c>
      <c r="D8" s="17"/>
      <c r="E8" s="96"/>
      <c r="F8" s="17"/>
      <c r="G8" s="22">
        <v>5.0</v>
      </c>
      <c r="H8" s="69" t="s">
        <v>509</v>
      </c>
      <c r="I8" s="17">
        <v>6.0</v>
      </c>
      <c r="J8" s="17"/>
      <c r="K8" s="22">
        <f t="shared" si="4"/>
        <v>5</v>
      </c>
      <c r="L8" s="69" t="str">
        <f t="shared" si="1"/>
        <v>Order 5</v>
      </c>
      <c r="M8" s="17">
        <v>16.0</v>
      </c>
      <c r="N8" s="106">
        <f t="shared" si="2"/>
        <v>20</v>
      </c>
      <c r="O8" s="107">
        <v>0.18</v>
      </c>
      <c r="P8" s="108">
        <f t="shared" si="3"/>
        <v>23.6</v>
      </c>
      <c r="Q8" s="17"/>
      <c r="U8" s="17"/>
      <c r="V8" s="17"/>
      <c r="W8" s="17"/>
      <c r="X8" s="17"/>
      <c r="Y8" s="17"/>
      <c r="Z8" s="17"/>
      <c r="AA8" s="17"/>
    </row>
    <row r="9">
      <c r="A9" s="113" t="str">
        <f>Shortcuts!A11</f>
        <v>Move to previous sheet</v>
      </c>
      <c r="B9" s="112" t="str">
        <f>Shortcuts!B11</f>
        <v>⌘ + Shift + Fn + Up arrow</v>
      </c>
      <c r="C9" s="111" t="str">
        <f>Shortcuts!C11</f>
        <v>Ctrl + Shift + Page Up</v>
      </c>
      <c r="D9" s="17"/>
      <c r="E9" s="96"/>
      <c r="F9" s="17"/>
      <c r="G9" s="22">
        <v>6.0</v>
      </c>
      <c r="H9" s="69" t="s">
        <v>510</v>
      </c>
      <c r="I9" s="17">
        <v>7.0</v>
      </c>
      <c r="J9" s="17"/>
      <c r="K9" s="22">
        <f t="shared" si="4"/>
        <v>6</v>
      </c>
      <c r="L9" s="69" t="str">
        <f t="shared" si="1"/>
        <v>Order 6</v>
      </c>
      <c r="M9" s="17">
        <v>18.0</v>
      </c>
      <c r="N9" s="106">
        <f t="shared" si="2"/>
        <v>22.5</v>
      </c>
      <c r="O9" s="107">
        <v>0.15</v>
      </c>
      <c r="P9" s="108">
        <f t="shared" si="3"/>
        <v>25.875</v>
      </c>
      <c r="Q9" s="17"/>
      <c r="U9" s="17"/>
      <c r="V9" s="17"/>
      <c r="W9" s="17"/>
      <c r="X9" s="17"/>
      <c r="Y9" s="17"/>
      <c r="Z9" s="17"/>
      <c r="AA9" s="17"/>
    </row>
    <row r="10">
      <c r="A10" s="113" t="str">
        <f>Shortcuts!A12</f>
        <v>Fill down</v>
      </c>
      <c r="B10" s="112" t="str">
        <f>Shortcuts!B12</f>
        <v>⌘ + d</v>
      </c>
      <c r="C10" s="111" t="str">
        <f>Shortcuts!C12</f>
        <v>Ctrl + d</v>
      </c>
      <c r="D10" s="17"/>
      <c r="E10" s="96"/>
      <c r="F10" s="17"/>
      <c r="G10" s="22">
        <v>7.0</v>
      </c>
      <c r="H10" s="69" t="s">
        <v>511</v>
      </c>
      <c r="I10" s="17">
        <v>6.0</v>
      </c>
      <c r="J10" s="17"/>
      <c r="K10" s="22">
        <f t="shared" si="4"/>
        <v>7</v>
      </c>
      <c r="L10" s="69" t="str">
        <f t="shared" si="1"/>
        <v>Order 7</v>
      </c>
      <c r="M10" s="17">
        <v>13.0</v>
      </c>
      <c r="N10" s="106">
        <f t="shared" si="2"/>
        <v>16.25</v>
      </c>
      <c r="O10" s="107">
        <v>0.18</v>
      </c>
      <c r="P10" s="108">
        <f t="shared" si="3"/>
        <v>19.175</v>
      </c>
      <c r="Q10" s="17"/>
      <c r="U10" s="17"/>
      <c r="V10" s="17"/>
      <c r="W10" s="17"/>
      <c r="X10" s="17"/>
      <c r="Y10" s="17"/>
      <c r="Z10" s="17"/>
      <c r="AA10" s="17"/>
    </row>
    <row r="11">
      <c r="A11" s="113" t="str">
        <f>Shortcuts!A13</f>
        <v>Fill right</v>
      </c>
      <c r="B11" s="112" t="str">
        <f>Shortcuts!B13</f>
        <v>⌘ + r</v>
      </c>
      <c r="C11" s="111" t="str">
        <f>Shortcuts!C13</f>
        <v>Ctrl + r</v>
      </c>
      <c r="D11" s="17"/>
      <c r="E11" s="96"/>
      <c r="F11" s="17"/>
      <c r="G11" s="22">
        <v>8.0</v>
      </c>
      <c r="H11" s="69" t="s">
        <v>512</v>
      </c>
      <c r="I11" s="17">
        <v>9.0</v>
      </c>
      <c r="J11" s="17"/>
      <c r="K11" s="22">
        <f t="shared" si="4"/>
        <v>8</v>
      </c>
      <c r="L11" s="69" t="str">
        <f t="shared" si="1"/>
        <v>Order 8</v>
      </c>
      <c r="M11" s="17">
        <v>12.0</v>
      </c>
      <c r="N11" s="106">
        <f t="shared" si="2"/>
        <v>15</v>
      </c>
      <c r="O11" s="107">
        <v>0.18</v>
      </c>
      <c r="P11" s="108">
        <f t="shared" si="3"/>
        <v>17.7</v>
      </c>
      <c r="Q11" s="17"/>
      <c r="U11" s="17"/>
      <c r="V11" s="17"/>
      <c r="W11" s="17"/>
      <c r="X11" s="17"/>
      <c r="Y11" s="17"/>
      <c r="Z11" s="17"/>
      <c r="AA11" s="17"/>
    </row>
    <row r="12">
      <c r="A12" s="113" t="str">
        <f>Shortcuts!A14</f>
        <v>Paste</v>
      </c>
      <c r="B12" s="112" t="str">
        <f>Shortcuts!B14</f>
        <v>⌘ + v</v>
      </c>
      <c r="C12" s="111" t="str">
        <f>Shortcuts!C14</f>
        <v>Ctrl + v</v>
      </c>
      <c r="D12" s="17"/>
      <c r="E12" s="96"/>
      <c r="F12" s="17"/>
      <c r="G12" s="22">
        <v>9.0</v>
      </c>
      <c r="H12" s="69" t="s">
        <v>513</v>
      </c>
      <c r="I12" s="17">
        <v>5.0</v>
      </c>
      <c r="J12" s="17"/>
      <c r="K12" s="22">
        <f t="shared" si="4"/>
        <v>9</v>
      </c>
      <c r="L12" s="69" t="str">
        <f t="shared" si="1"/>
        <v>Order 9</v>
      </c>
      <c r="M12" s="17">
        <v>7.0</v>
      </c>
      <c r="N12" s="106">
        <f t="shared" si="2"/>
        <v>8.75</v>
      </c>
      <c r="O12" s="107">
        <v>0.15</v>
      </c>
      <c r="P12" s="108">
        <f t="shared" si="3"/>
        <v>10.0625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13" t="str">
        <f>Shortcuts!A15</f>
        <v>Paste values only</v>
      </c>
      <c r="B13" s="112" t="str">
        <f>Shortcuts!B15</f>
        <v>⌘ + Shift + v</v>
      </c>
      <c r="C13" s="111" t="str">
        <f>Shortcuts!C15</f>
        <v>Ctrl + Shift + v</v>
      </c>
      <c r="D13" s="17"/>
      <c r="E13" s="96"/>
      <c r="F13" s="17"/>
      <c r="G13" s="22">
        <v>10.0</v>
      </c>
      <c r="H13" s="69" t="s">
        <v>514</v>
      </c>
      <c r="I13" s="17">
        <v>9.0</v>
      </c>
      <c r="J13" s="17"/>
      <c r="K13" s="22">
        <f t="shared" si="4"/>
        <v>10</v>
      </c>
      <c r="L13" s="69" t="str">
        <f t="shared" si="1"/>
        <v>Order 10</v>
      </c>
      <c r="M13" s="17">
        <v>8.0</v>
      </c>
      <c r="N13" s="106">
        <f t="shared" si="2"/>
        <v>10</v>
      </c>
      <c r="O13" s="107">
        <v>0.15</v>
      </c>
      <c r="P13" s="108">
        <f t="shared" si="3"/>
        <v>11.5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13" t="str">
        <f>Shortcuts!A16</f>
        <v>Paste format only</v>
      </c>
      <c r="B14" s="112" t="str">
        <f>Shortcuts!B16</f>
        <v>⌘ + Option + v</v>
      </c>
      <c r="C14" s="111" t="str">
        <f>Shortcuts!C16</f>
        <v>Ctrl + Alt + v</v>
      </c>
      <c r="D14" s="17"/>
      <c r="E14" s="96"/>
      <c r="F14" s="17"/>
      <c r="G14" s="114">
        <v>11.0</v>
      </c>
      <c r="H14" s="115" t="str">
        <f t="shared" ref="H14:H20" si="5">CONCATENATE("Order ",G14)</f>
        <v>Order 11</v>
      </c>
      <c r="I14" s="116">
        <v>12.0</v>
      </c>
      <c r="J14" s="17"/>
      <c r="K14" s="22">
        <f t="shared" si="4"/>
        <v>11</v>
      </c>
      <c r="L14" s="69" t="str">
        <f t="shared" si="1"/>
        <v>Order 11</v>
      </c>
      <c r="M14" s="17">
        <v>7.0</v>
      </c>
      <c r="N14" s="106">
        <f t="shared" si="2"/>
        <v>8.75</v>
      </c>
      <c r="O14" s="107">
        <v>0.15</v>
      </c>
      <c r="P14" s="108">
        <f t="shared" si="3"/>
        <v>10.0625</v>
      </c>
      <c r="Q14" s="17"/>
      <c r="V14" s="17"/>
      <c r="W14" s="17"/>
      <c r="X14" s="17"/>
      <c r="Y14" s="17"/>
      <c r="Z14" s="17"/>
      <c r="AA14" s="17"/>
    </row>
    <row r="15">
      <c r="A15" s="113" t="str">
        <f>Shortcuts!A17</f>
        <v>Find</v>
      </c>
      <c r="B15" s="112" t="str">
        <f>Shortcuts!B17</f>
        <v>⌘ + f</v>
      </c>
      <c r="C15" s="111" t="str">
        <f>Shortcuts!C17</f>
        <v>Ctrl + f</v>
      </c>
      <c r="D15" s="17"/>
      <c r="E15" s="96"/>
      <c r="F15" s="17"/>
      <c r="G15" s="114">
        <v>12.0</v>
      </c>
      <c r="H15" s="115" t="str">
        <f t="shared" si="5"/>
        <v>Order 12</v>
      </c>
      <c r="I15" s="116">
        <v>7.0</v>
      </c>
      <c r="K15" s="22">
        <f t="shared" si="4"/>
        <v>12</v>
      </c>
      <c r="L15" s="69" t="str">
        <f t="shared" si="1"/>
        <v>Order 12</v>
      </c>
      <c r="M15" s="17">
        <v>5.0</v>
      </c>
      <c r="N15" s="106">
        <f t="shared" si="2"/>
        <v>6.25</v>
      </c>
      <c r="O15" s="107">
        <v>0.15</v>
      </c>
      <c r="P15" s="108">
        <f t="shared" si="3"/>
        <v>7.1875</v>
      </c>
      <c r="Q15" s="17"/>
      <c r="V15" s="17"/>
      <c r="W15" s="17"/>
      <c r="X15" s="17"/>
      <c r="Y15" s="17"/>
      <c r="Z15" s="17"/>
      <c r="AA15" s="17"/>
    </row>
    <row r="16">
      <c r="A16" s="113" t="str">
        <f>Shortcuts!A18</f>
        <v>Find and replace</v>
      </c>
      <c r="B16" s="112" t="str">
        <f>Shortcuts!B18</f>
        <v>⌘ + Shift + h</v>
      </c>
      <c r="C16" s="111" t="str">
        <f>Shortcuts!C18</f>
        <v>Ctrl + h</v>
      </c>
      <c r="D16" s="17"/>
      <c r="E16" s="96"/>
      <c r="F16" s="98" t="s">
        <v>515</v>
      </c>
      <c r="G16" s="114">
        <v>13.0</v>
      </c>
      <c r="H16" s="115" t="str">
        <f t="shared" si="5"/>
        <v>Order 13</v>
      </c>
      <c r="I16" s="116">
        <v>12.0</v>
      </c>
      <c r="K16" s="22">
        <f t="shared" si="4"/>
        <v>13</v>
      </c>
      <c r="L16" s="69" t="str">
        <f t="shared" si="1"/>
        <v>Order 13</v>
      </c>
      <c r="M16" s="17">
        <v>13.0</v>
      </c>
      <c r="N16" s="106">
        <f t="shared" si="2"/>
        <v>16.25</v>
      </c>
      <c r="O16" s="107">
        <v>0.15</v>
      </c>
      <c r="P16" s="108">
        <f t="shared" si="3"/>
        <v>18.6875</v>
      </c>
      <c r="Q16" s="17"/>
      <c r="V16" s="17"/>
      <c r="W16" s="17"/>
      <c r="X16" s="17"/>
      <c r="Y16" s="17"/>
      <c r="Z16" s="17"/>
      <c r="AA16" s="17"/>
    </row>
    <row r="17">
      <c r="A17" s="113" t="str">
        <f>Shortcuts!A19</f>
        <v>Undo</v>
      </c>
      <c r="B17" s="112" t="str">
        <f>Shortcuts!B19</f>
        <v>⌘ + z</v>
      </c>
      <c r="C17" s="111" t="str">
        <f>Shortcuts!C19</f>
        <v>Ctrl + z</v>
      </c>
      <c r="D17" s="17"/>
      <c r="E17" s="96"/>
      <c r="F17" s="98" t="s">
        <v>516</v>
      </c>
      <c r="G17" s="114">
        <v>14.0</v>
      </c>
      <c r="H17" s="115" t="str">
        <f t="shared" si="5"/>
        <v>Order 14</v>
      </c>
      <c r="I17" s="116">
        <v>7.0</v>
      </c>
      <c r="K17" s="22">
        <f t="shared" si="4"/>
        <v>14</v>
      </c>
      <c r="L17" s="69" t="str">
        <f t="shared" si="1"/>
        <v>Order 14</v>
      </c>
      <c r="M17" s="17">
        <v>16.0</v>
      </c>
      <c r="N17" s="106">
        <f t="shared" si="2"/>
        <v>20</v>
      </c>
      <c r="O17" s="107">
        <v>0.15</v>
      </c>
      <c r="P17" s="108">
        <f t="shared" si="3"/>
        <v>23</v>
      </c>
      <c r="Q17" s="17"/>
      <c r="V17" s="17"/>
      <c r="W17" s="17"/>
      <c r="X17" s="17"/>
      <c r="Y17" s="17"/>
      <c r="Z17" s="17"/>
      <c r="AA17" s="17"/>
    </row>
    <row r="18">
      <c r="A18" s="113" t="str">
        <f>Shortcuts!A20</f>
        <v>Redo</v>
      </c>
      <c r="B18" s="111" t="str">
        <f>left(Shortcuts!B20,5)</f>
        <v>⌘ + y</v>
      </c>
      <c r="C18" s="111" t="str">
        <f>left(Shortcuts!C20,8)</f>
        <v>Ctrl + y</v>
      </c>
      <c r="D18" s="17"/>
      <c r="E18" s="96"/>
      <c r="F18" s="98" t="s">
        <v>517</v>
      </c>
      <c r="G18" s="114">
        <v>15.0</v>
      </c>
      <c r="H18" s="115" t="str">
        <f t="shared" si="5"/>
        <v>Order 15</v>
      </c>
      <c r="I18" s="116">
        <v>10.0</v>
      </c>
      <c r="K18" s="22">
        <f t="shared" si="4"/>
        <v>15</v>
      </c>
      <c r="L18" s="69" t="str">
        <f t="shared" si="1"/>
        <v>Order 15</v>
      </c>
      <c r="M18" s="17">
        <v>9.0</v>
      </c>
      <c r="N18" s="106">
        <f t="shared" si="2"/>
        <v>11.25</v>
      </c>
      <c r="O18" s="107">
        <v>0.15</v>
      </c>
      <c r="P18" s="108">
        <f t="shared" si="3"/>
        <v>12.9375</v>
      </c>
      <c r="Q18" s="17"/>
      <c r="V18" s="17"/>
      <c r="W18" s="17"/>
      <c r="X18" s="17"/>
      <c r="Y18" s="17"/>
      <c r="Z18" s="17"/>
      <c r="AA18" s="17"/>
    </row>
    <row r="19">
      <c r="A19" s="113" t="str">
        <f>Shortcuts!A21</f>
        <v>Bold</v>
      </c>
      <c r="B19" s="112" t="str">
        <f>Shortcuts!B21</f>
        <v>⌘ + b</v>
      </c>
      <c r="C19" s="111" t="str">
        <f>Shortcuts!C21</f>
        <v>Ctrl + b</v>
      </c>
      <c r="D19" s="17"/>
      <c r="E19" s="96"/>
      <c r="F19" s="21"/>
      <c r="G19" s="114">
        <v>16.0</v>
      </c>
      <c r="H19" s="115" t="str">
        <f t="shared" si="5"/>
        <v>Order 16</v>
      </c>
      <c r="I19" s="116">
        <v>6.0</v>
      </c>
      <c r="K19" s="22">
        <f t="shared" si="4"/>
        <v>16</v>
      </c>
      <c r="L19" s="69" t="str">
        <f t="shared" si="1"/>
        <v>Order 16</v>
      </c>
      <c r="M19" s="17">
        <v>18.0</v>
      </c>
      <c r="N19" s="106">
        <f t="shared" si="2"/>
        <v>22.5</v>
      </c>
      <c r="O19" s="107">
        <v>0.15</v>
      </c>
      <c r="P19" s="108">
        <f t="shared" si="3"/>
        <v>25.875</v>
      </c>
      <c r="Q19" s="17"/>
      <c r="V19" s="17"/>
      <c r="W19" s="17"/>
      <c r="X19" s="17"/>
      <c r="Y19" s="17"/>
      <c r="Z19" s="17"/>
      <c r="AA19" s="17"/>
    </row>
    <row r="20">
      <c r="A20" s="110" t="str">
        <f>Shortcuts!A22</f>
        <v>Center align</v>
      </c>
      <c r="B20" s="111" t="str">
        <f>Shortcuts!B22</f>
        <v>⌘ + Shift + e</v>
      </c>
      <c r="C20" s="111" t="str">
        <f>Shortcuts!C22</f>
        <v>Ctrl + Shift + e</v>
      </c>
      <c r="D20" s="17"/>
      <c r="E20" s="96"/>
      <c r="G20" s="114">
        <v>17.0</v>
      </c>
      <c r="H20" s="115" t="str">
        <f t="shared" si="5"/>
        <v>Order 17</v>
      </c>
      <c r="I20" s="116">
        <v>8.0</v>
      </c>
      <c r="K20" s="22">
        <f t="shared" si="4"/>
        <v>17</v>
      </c>
      <c r="L20" s="69" t="str">
        <f t="shared" si="1"/>
        <v>Order 17</v>
      </c>
      <c r="M20" s="17">
        <v>14.0</v>
      </c>
      <c r="N20" s="106">
        <f t="shared" si="2"/>
        <v>17.5</v>
      </c>
      <c r="O20" s="107">
        <v>0.18</v>
      </c>
      <c r="P20" s="108">
        <f t="shared" si="3"/>
        <v>20.65</v>
      </c>
      <c r="Q20" s="17"/>
      <c r="V20" s="17"/>
      <c r="W20" s="17"/>
      <c r="X20" s="17"/>
      <c r="Y20" s="17"/>
      <c r="Z20" s="17"/>
      <c r="AA20" s="17"/>
    </row>
    <row r="21">
      <c r="A21" s="110" t="str">
        <f>Shortcuts!A23</f>
        <v>Left align</v>
      </c>
      <c r="B21" s="111" t="str">
        <f>Shortcuts!B23</f>
        <v>⌘ + Shift + l</v>
      </c>
      <c r="C21" s="111" t="str">
        <f>Shortcuts!C23</f>
        <v>Ctrl + Shift + l</v>
      </c>
      <c r="D21" s="17"/>
      <c r="E21" s="96"/>
      <c r="F21" s="17"/>
      <c r="K21" s="22">
        <f t="shared" si="4"/>
        <v>18</v>
      </c>
      <c r="L21" s="69" t="str">
        <f t="shared" si="1"/>
        <v>Order 18</v>
      </c>
      <c r="M21" s="17">
        <v>20.0</v>
      </c>
      <c r="N21" s="106">
        <f t="shared" si="2"/>
        <v>25</v>
      </c>
      <c r="O21" s="107">
        <v>0.18</v>
      </c>
      <c r="P21" s="108">
        <f t="shared" si="3"/>
        <v>29.5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10" t="str">
        <f>Shortcuts!A24</f>
        <v>Right align</v>
      </c>
      <c r="B22" s="111" t="str">
        <f>Shortcuts!B24</f>
        <v>⌘ + Shift + r</v>
      </c>
      <c r="C22" s="111" t="str">
        <f>Shortcuts!C24</f>
        <v>Ctrl + Shift + r</v>
      </c>
      <c r="D22" s="17"/>
      <c r="E22" s="96"/>
      <c r="F22" s="17"/>
      <c r="K22" s="22">
        <f t="shared" si="4"/>
        <v>19</v>
      </c>
      <c r="L22" s="69" t="str">
        <f t="shared" si="1"/>
        <v>Order 19</v>
      </c>
      <c r="M22" s="17">
        <v>13.0</v>
      </c>
      <c r="N22" s="106">
        <f t="shared" si="2"/>
        <v>16.25</v>
      </c>
      <c r="O22" s="107">
        <v>0.18</v>
      </c>
      <c r="P22" s="108">
        <f t="shared" si="3"/>
        <v>19.175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13" t="str">
        <f>Shortcuts!A25</f>
        <v>Apply bottom border</v>
      </c>
      <c r="B23" s="112" t="str">
        <f>Shortcuts!B25</f>
        <v>Option + Shift + 3</v>
      </c>
      <c r="C23" s="111" t="str">
        <f>Shortcuts!C25</f>
        <v>Alt + Shift + 3</v>
      </c>
      <c r="D23" s="17"/>
      <c r="E23" s="96"/>
      <c r="F23" s="17"/>
      <c r="J23" s="17"/>
      <c r="K23" s="22">
        <f t="shared" si="4"/>
        <v>20</v>
      </c>
      <c r="L23" s="69" t="str">
        <f t="shared" si="1"/>
        <v>Order 20</v>
      </c>
      <c r="M23" s="17">
        <v>11.0</v>
      </c>
      <c r="N23" s="106">
        <f t="shared" si="2"/>
        <v>13.75</v>
      </c>
      <c r="O23" s="107">
        <v>0.18</v>
      </c>
      <c r="P23" s="108">
        <f t="shared" si="3"/>
        <v>16.225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13" t="str">
        <f>Shortcuts!A26</f>
        <v>Apply outer border</v>
      </c>
      <c r="B24" s="111" t="str">
        <f>left(Shortcuts!B26,18)</f>
        <v>Option + Shift + 7</v>
      </c>
      <c r="C24" s="111" t="str">
        <f>left(Shortcuts!C26,15)</f>
        <v>Alt + Shift + 7</v>
      </c>
      <c r="D24" s="17"/>
      <c r="E24" s="96"/>
      <c r="F24" s="17"/>
      <c r="J24" s="17"/>
      <c r="K24" s="22">
        <f t="shared" si="4"/>
        <v>21</v>
      </c>
      <c r="L24" s="69" t="str">
        <f t="shared" si="1"/>
        <v>Order 21</v>
      </c>
      <c r="M24" s="17">
        <v>6.0</v>
      </c>
      <c r="N24" s="106">
        <f t="shared" si="2"/>
        <v>7.5</v>
      </c>
      <c r="O24" s="107">
        <v>0.15</v>
      </c>
      <c r="P24" s="108">
        <f t="shared" si="3"/>
        <v>8.625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10" t="str">
        <f>Shortcuts!A27</f>
        <v>Remove borders</v>
      </c>
      <c r="B25" s="111" t="str">
        <f>Shortcuts!B27</f>
        <v>Option + Shift + 6</v>
      </c>
      <c r="C25" s="111" t="str">
        <f>Shortcuts!C27</f>
        <v>Alt + Shift + 6</v>
      </c>
      <c r="D25" s="17"/>
      <c r="E25" s="96"/>
      <c r="F25" s="17"/>
      <c r="J25" s="17"/>
      <c r="K25" s="22">
        <f t="shared" si="4"/>
        <v>22</v>
      </c>
      <c r="L25" s="69" t="str">
        <f t="shared" si="1"/>
        <v>Order 22</v>
      </c>
      <c r="M25" s="17">
        <v>12.0</v>
      </c>
      <c r="N25" s="106">
        <f t="shared" si="2"/>
        <v>15</v>
      </c>
      <c r="O25" s="107">
        <v>0.15</v>
      </c>
      <c r="P25" s="108">
        <f t="shared" si="3"/>
        <v>17.25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13" t="str">
        <f>Shortcuts!A28</f>
        <v>Insert link</v>
      </c>
      <c r="B26" s="112" t="str">
        <f>Shortcuts!B28</f>
        <v>⌘ + k</v>
      </c>
      <c r="C26" s="111" t="str">
        <f>Shortcuts!C28</f>
        <v>Ctrl + k</v>
      </c>
      <c r="D26" s="17"/>
      <c r="E26" s="96"/>
      <c r="F26" s="17"/>
      <c r="G26" s="117"/>
      <c r="J26" s="17"/>
      <c r="K26" s="22">
        <f t="shared" si="4"/>
        <v>23</v>
      </c>
      <c r="L26" s="69" t="str">
        <f t="shared" si="1"/>
        <v>Order 23</v>
      </c>
      <c r="M26" s="17">
        <v>4.0</v>
      </c>
      <c r="N26" s="106">
        <f t="shared" si="2"/>
        <v>5</v>
      </c>
      <c r="O26" s="107">
        <v>0.15</v>
      </c>
      <c r="P26" s="108">
        <f t="shared" si="3"/>
        <v>5.75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13" t="str">
        <f>Shortcuts!A29</f>
        <v>Format as decimal</v>
      </c>
      <c r="B27" s="112" t="str">
        <f>Shortcuts!B29</f>
        <v>Ctrl + Shift + 1</v>
      </c>
      <c r="C27" s="111" t="str">
        <f>Shortcuts!C29</f>
        <v>Ctrl + Shift + 1</v>
      </c>
      <c r="D27" s="17"/>
      <c r="E27" s="96"/>
      <c r="F27" s="17"/>
      <c r="G27" s="117"/>
      <c r="J27" s="17"/>
      <c r="K27" s="22">
        <f t="shared" si="4"/>
        <v>24</v>
      </c>
      <c r="L27" s="69" t="str">
        <f t="shared" si="1"/>
        <v>Order 24</v>
      </c>
      <c r="M27" s="17">
        <v>9.0</v>
      </c>
      <c r="N27" s="106">
        <f t="shared" si="2"/>
        <v>11.25</v>
      </c>
      <c r="O27" s="107">
        <v>0.15</v>
      </c>
      <c r="P27" s="108">
        <f t="shared" si="3"/>
        <v>12.9375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13" t="str">
        <f>Shortcuts!A30</f>
        <v>Format as time</v>
      </c>
      <c r="B28" s="112" t="str">
        <f>Shortcuts!B30</f>
        <v>Ctrl + Shift + 2</v>
      </c>
      <c r="C28" s="111" t="str">
        <f>Shortcuts!C30</f>
        <v>Ctrl + Shift + 2</v>
      </c>
      <c r="D28" s="17"/>
      <c r="E28" s="96"/>
      <c r="F28" s="17"/>
      <c r="G28" s="117"/>
      <c r="J28" s="17"/>
      <c r="K28" s="22">
        <f t="shared" si="4"/>
        <v>25</v>
      </c>
      <c r="L28" s="69" t="str">
        <f t="shared" si="1"/>
        <v>Order 25</v>
      </c>
      <c r="M28" s="17">
        <v>16.0</v>
      </c>
      <c r="N28" s="106">
        <f t="shared" si="2"/>
        <v>20</v>
      </c>
      <c r="O28" s="107">
        <v>0.15</v>
      </c>
      <c r="P28" s="108">
        <f t="shared" si="3"/>
        <v>23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13" t="str">
        <f>Shortcuts!A31</f>
        <v>Format as date</v>
      </c>
      <c r="B29" s="112" t="str">
        <f>Shortcuts!B31</f>
        <v>Ctrl + Shift + 3</v>
      </c>
      <c r="C29" s="111" t="str">
        <f>Shortcuts!C31</f>
        <v>Ctrl + Shift + 3</v>
      </c>
      <c r="D29" s="17"/>
      <c r="E29" s="96"/>
      <c r="F29" s="17"/>
      <c r="G29" s="117"/>
      <c r="J29" s="17"/>
      <c r="K29" s="22">
        <f t="shared" si="4"/>
        <v>26</v>
      </c>
      <c r="L29" s="69" t="str">
        <f t="shared" si="1"/>
        <v>Order 26</v>
      </c>
      <c r="M29" s="17">
        <v>14.0</v>
      </c>
      <c r="N29" s="106">
        <f t="shared" si="2"/>
        <v>17.5</v>
      </c>
      <c r="O29" s="107">
        <v>0.15</v>
      </c>
      <c r="P29" s="108">
        <f t="shared" si="3"/>
        <v>20.125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13" t="str">
        <f>Shortcuts!A32</f>
        <v>Format as currency</v>
      </c>
      <c r="B30" s="112" t="str">
        <f>Shortcuts!B32</f>
        <v>Ctrl + Shift + 4</v>
      </c>
      <c r="C30" s="111" t="str">
        <f>Shortcuts!C32</f>
        <v>Ctrl + Shift + 4</v>
      </c>
      <c r="D30" s="17"/>
      <c r="E30" s="96"/>
      <c r="F30" s="17"/>
      <c r="G30" s="117"/>
      <c r="J30" s="17"/>
      <c r="K30" s="22">
        <f t="shared" si="4"/>
        <v>27</v>
      </c>
      <c r="L30" s="69" t="str">
        <f t="shared" si="1"/>
        <v>Order 27</v>
      </c>
      <c r="M30" s="17">
        <v>5.0</v>
      </c>
      <c r="N30" s="106">
        <f t="shared" si="2"/>
        <v>6.25</v>
      </c>
      <c r="O30" s="107">
        <v>0.18</v>
      </c>
      <c r="P30" s="108">
        <f t="shared" si="3"/>
        <v>7.375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13" t="str">
        <f>Shortcuts!A33</f>
        <v>Format as percentage</v>
      </c>
      <c r="B31" s="112" t="str">
        <f>Shortcuts!B33</f>
        <v>Ctrl + Shift + 5</v>
      </c>
      <c r="C31" s="111" t="str">
        <f>Shortcuts!C33</f>
        <v>Ctrl + Shift + 5</v>
      </c>
      <c r="D31" s="17"/>
      <c r="E31" s="96"/>
      <c r="F31" s="17"/>
      <c r="G31" s="117"/>
      <c r="H31" s="17"/>
      <c r="I31" s="17"/>
      <c r="J31" s="17"/>
      <c r="K31" s="22">
        <f t="shared" si="4"/>
        <v>28</v>
      </c>
      <c r="L31" s="69" t="str">
        <f t="shared" si="1"/>
        <v>Order 28</v>
      </c>
      <c r="M31" s="17">
        <v>8.0</v>
      </c>
      <c r="N31" s="106">
        <f t="shared" si="2"/>
        <v>10</v>
      </c>
      <c r="O31" s="107">
        <v>0.18</v>
      </c>
      <c r="P31" s="108">
        <f t="shared" si="3"/>
        <v>11.8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13" t="str">
        <f>Shortcuts!A34</f>
        <v>Clear formatting</v>
      </c>
      <c r="B32" s="112" t="str">
        <f>Shortcuts!B34</f>
        <v>⌘ + \</v>
      </c>
      <c r="C32" s="111" t="str">
        <f>Shortcuts!C34</f>
        <v>Ctrl + \</v>
      </c>
      <c r="D32" s="17"/>
      <c r="E32" s="96"/>
      <c r="F32" s="17"/>
      <c r="G32" s="117"/>
      <c r="H32" s="17"/>
      <c r="I32" s="17"/>
      <c r="J32" s="17"/>
      <c r="K32" s="22">
        <f t="shared" si="4"/>
        <v>29</v>
      </c>
      <c r="L32" s="69" t="str">
        <f t="shared" si="1"/>
        <v>Order 29</v>
      </c>
      <c r="M32" s="17">
        <v>5.0</v>
      </c>
      <c r="N32" s="106">
        <f t="shared" si="2"/>
        <v>6.25</v>
      </c>
      <c r="O32" s="107">
        <v>0.15</v>
      </c>
      <c r="P32" s="108">
        <f t="shared" si="3"/>
        <v>7.1875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13" t="str">
        <f>Shortcuts!A35</f>
        <v>Display list of sheets</v>
      </c>
      <c r="B33" s="112" t="str">
        <f>Shortcuts!B35</f>
        <v>Option + Shift + k</v>
      </c>
      <c r="C33" s="111" t="str">
        <f>Shortcuts!C35</f>
        <v>Alt + Shift + k</v>
      </c>
      <c r="D33" s="17"/>
      <c r="E33" s="96"/>
      <c r="F33" s="17"/>
      <c r="G33" s="117"/>
      <c r="H33" s="17"/>
      <c r="I33" s="17"/>
      <c r="J33" s="17"/>
      <c r="K33" s="22">
        <f t="shared" si="4"/>
        <v>30</v>
      </c>
      <c r="L33" s="69" t="str">
        <f t="shared" si="1"/>
        <v>Order 30</v>
      </c>
      <c r="M33" s="17">
        <v>19.0</v>
      </c>
      <c r="N33" s="106">
        <f t="shared" si="2"/>
        <v>23.75</v>
      </c>
      <c r="O33" s="107">
        <v>0.15</v>
      </c>
      <c r="P33" s="108">
        <f t="shared" si="3"/>
        <v>27.3125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13" t="str">
        <f>Shortcuts!A36</f>
        <v>Group rows or columns</v>
      </c>
      <c r="B34" s="112" t="str">
        <f>Shortcuts!B36</f>
        <v>Option + Shift + Right arrow</v>
      </c>
      <c r="C34" s="111" t="str">
        <f>Shortcuts!C36</f>
        <v>Ctrl + Shift + 9</v>
      </c>
      <c r="D34" s="17"/>
      <c r="E34" s="96"/>
      <c r="F34" s="17"/>
      <c r="G34" s="117"/>
      <c r="H34" s="17"/>
      <c r="I34" s="17"/>
      <c r="J34" s="17"/>
      <c r="K34" s="22">
        <f t="shared" si="4"/>
        <v>31</v>
      </c>
      <c r="L34" s="69" t="str">
        <f t="shared" si="1"/>
        <v>Order 31</v>
      </c>
      <c r="M34" s="17">
        <v>17.0</v>
      </c>
      <c r="N34" s="106">
        <f t="shared" si="2"/>
        <v>21.25</v>
      </c>
      <c r="O34" s="107">
        <v>0.18</v>
      </c>
      <c r="P34" s="108">
        <f t="shared" si="3"/>
        <v>25.075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13" t="str">
        <f>Shortcuts!A37</f>
        <v>Ungroup rows or columns</v>
      </c>
      <c r="B35" s="112" t="str">
        <f>Shortcuts!B37</f>
        <v>Option + Shift + Left arrow</v>
      </c>
      <c r="C35" s="111" t="str">
        <f>Shortcuts!C37</f>
        <v>Ctrl + Shift + 0</v>
      </c>
      <c r="D35" s="17"/>
      <c r="E35" s="96"/>
      <c r="F35" s="17"/>
      <c r="G35" s="117"/>
      <c r="H35" s="17"/>
      <c r="I35" s="17"/>
      <c r="J35" s="17"/>
      <c r="K35" s="22">
        <f t="shared" si="4"/>
        <v>32</v>
      </c>
      <c r="L35" s="69" t="str">
        <f t="shared" si="1"/>
        <v>Order 32</v>
      </c>
      <c r="M35" s="17">
        <v>15.0</v>
      </c>
      <c r="N35" s="106">
        <f t="shared" si="2"/>
        <v>18.75</v>
      </c>
      <c r="O35" s="107">
        <v>0.15</v>
      </c>
      <c r="P35" s="108">
        <f t="shared" si="3"/>
        <v>21.5625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10" t="s">
        <v>228</v>
      </c>
      <c r="B36" s="111" t="s">
        <v>229</v>
      </c>
      <c r="C36" s="111" t="s">
        <v>230</v>
      </c>
      <c r="D36" s="17"/>
      <c r="E36" s="96"/>
      <c r="F36" s="17"/>
      <c r="G36" s="117"/>
      <c r="H36" s="17"/>
      <c r="I36" s="17"/>
      <c r="J36" s="17"/>
      <c r="K36" s="22">
        <f t="shared" si="4"/>
        <v>33</v>
      </c>
      <c r="L36" s="69" t="str">
        <f t="shared" si="1"/>
        <v>Order 33</v>
      </c>
      <c r="M36" s="17">
        <v>17.0</v>
      </c>
      <c r="N36" s="106">
        <f t="shared" si="2"/>
        <v>21.25</v>
      </c>
      <c r="O36" s="107">
        <v>0.18</v>
      </c>
      <c r="P36" s="108">
        <f t="shared" si="3"/>
        <v>25.075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18" t="s">
        <v>225</v>
      </c>
      <c r="B37" s="111" t="s">
        <v>226</v>
      </c>
      <c r="C37" s="111" t="s">
        <v>227</v>
      </c>
      <c r="D37" s="17"/>
      <c r="E37" s="96"/>
      <c r="F37" s="17"/>
      <c r="G37" s="117"/>
      <c r="H37" s="17"/>
      <c r="I37" s="17"/>
      <c r="J37" s="17"/>
      <c r="K37" s="22">
        <f t="shared" si="4"/>
        <v>34</v>
      </c>
      <c r="L37" s="69" t="str">
        <f t="shared" si="1"/>
        <v>Order 34</v>
      </c>
      <c r="M37" s="17">
        <v>11.0</v>
      </c>
      <c r="N37" s="106">
        <f t="shared" si="2"/>
        <v>13.75</v>
      </c>
      <c r="O37" s="107">
        <v>0.15</v>
      </c>
      <c r="P37" s="108">
        <f t="shared" si="3"/>
        <v>15.8125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7"/>
      <c r="B38" s="17"/>
      <c r="C38" s="17"/>
      <c r="D38" s="17"/>
      <c r="E38" s="96"/>
      <c r="F38" s="17"/>
      <c r="G38" s="117"/>
      <c r="H38" s="17"/>
      <c r="I38" s="17"/>
      <c r="J38" s="17"/>
      <c r="K38" s="22">
        <f t="shared" si="4"/>
        <v>35</v>
      </c>
      <c r="L38" s="69" t="str">
        <f t="shared" si="1"/>
        <v>Order 35</v>
      </c>
      <c r="M38" s="17">
        <v>15.0</v>
      </c>
      <c r="N38" s="106">
        <f t="shared" si="2"/>
        <v>18.75</v>
      </c>
      <c r="O38" s="107">
        <v>0.15</v>
      </c>
      <c r="P38" s="108">
        <f t="shared" si="3"/>
        <v>21.5625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17"/>
      <c r="B39" s="17"/>
      <c r="C39" s="17"/>
      <c r="D39" s="17"/>
      <c r="E39" s="96"/>
      <c r="F39" s="17"/>
      <c r="G39" s="117"/>
      <c r="H39" s="17"/>
      <c r="I39" s="17"/>
      <c r="J39" s="17"/>
      <c r="K39" s="22">
        <f t="shared" si="4"/>
        <v>36</v>
      </c>
      <c r="L39" s="69" t="str">
        <f t="shared" si="1"/>
        <v>Order 36</v>
      </c>
      <c r="M39" s="17">
        <v>10.0</v>
      </c>
      <c r="N39" s="106">
        <f t="shared" si="2"/>
        <v>12.5</v>
      </c>
      <c r="O39" s="107">
        <v>0.15</v>
      </c>
      <c r="P39" s="108">
        <f t="shared" si="3"/>
        <v>14.375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17"/>
      <c r="B40" s="17"/>
      <c r="C40" s="17"/>
      <c r="D40" s="17"/>
      <c r="E40" s="96"/>
      <c r="F40" s="17"/>
      <c r="G40" s="117"/>
      <c r="H40" s="17"/>
      <c r="I40" s="17"/>
      <c r="J40" s="17"/>
      <c r="K40" s="22">
        <f t="shared" si="4"/>
        <v>37</v>
      </c>
      <c r="L40" s="69" t="str">
        <f t="shared" si="1"/>
        <v>Order 37</v>
      </c>
      <c r="M40" s="17">
        <v>9.0</v>
      </c>
      <c r="N40" s="106">
        <f t="shared" si="2"/>
        <v>11.25</v>
      </c>
      <c r="O40" s="107">
        <v>0.18</v>
      </c>
      <c r="P40" s="108">
        <f t="shared" si="3"/>
        <v>13.275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17"/>
      <c r="B41" s="17"/>
      <c r="C41" s="17"/>
      <c r="D41" s="17"/>
      <c r="E41" s="96"/>
      <c r="F41" s="17"/>
      <c r="G41" s="17"/>
      <c r="H41" s="17"/>
      <c r="I41" s="17"/>
      <c r="J41" s="17"/>
      <c r="K41" s="22">
        <f t="shared" si="4"/>
        <v>38</v>
      </c>
      <c r="L41" s="69" t="str">
        <f t="shared" si="1"/>
        <v>Order 38</v>
      </c>
      <c r="M41" s="17">
        <v>7.0</v>
      </c>
      <c r="N41" s="106">
        <f t="shared" si="2"/>
        <v>8.75</v>
      </c>
      <c r="O41" s="107">
        <v>0.18</v>
      </c>
      <c r="P41" s="108">
        <f t="shared" si="3"/>
        <v>10.325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17"/>
      <c r="B42" s="17"/>
      <c r="C42" s="17"/>
      <c r="D42" s="17"/>
      <c r="E42" s="96"/>
      <c r="F42" s="17"/>
      <c r="G42" s="17"/>
      <c r="H42" s="17"/>
      <c r="I42" s="17"/>
      <c r="J42" s="17"/>
      <c r="K42" s="22">
        <f t="shared" si="4"/>
        <v>39</v>
      </c>
      <c r="L42" s="69" t="str">
        <f t="shared" si="1"/>
        <v>Order 39</v>
      </c>
      <c r="M42" s="17">
        <v>4.0</v>
      </c>
      <c r="N42" s="106">
        <f t="shared" si="2"/>
        <v>5</v>
      </c>
      <c r="O42" s="107">
        <v>0.15</v>
      </c>
      <c r="P42" s="108">
        <f t="shared" si="3"/>
        <v>5.75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17"/>
      <c r="B43" s="17"/>
      <c r="C43" s="17"/>
      <c r="D43" s="17"/>
      <c r="E43" s="96"/>
      <c r="F43" s="17"/>
      <c r="G43" s="17"/>
      <c r="H43" s="17"/>
      <c r="I43" s="17"/>
      <c r="J43" s="17"/>
      <c r="K43" s="22">
        <f t="shared" si="4"/>
        <v>40</v>
      </c>
      <c r="L43" s="69" t="str">
        <f t="shared" si="1"/>
        <v>Order 40</v>
      </c>
      <c r="M43" s="17">
        <v>4.0</v>
      </c>
      <c r="N43" s="106">
        <f t="shared" si="2"/>
        <v>5</v>
      </c>
      <c r="O43" s="107">
        <v>0.18</v>
      </c>
      <c r="P43" s="108">
        <f t="shared" si="3"/>
        <v>5.9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17"/>
      <c r="B44" s="17"/>
      <c r="C44" s="17"/>
      <c r="D44" s="17"/>
      <c r="E44" s="96"/>
      <c r="F44" s="17"/>
      <c r="G44" s="17"/>
      <c r="H44" s="17"/>
      <c r="I44" s="17"/>
      <c r="J44" s="17"/>
      <c r="K44" s="22">
        <f t="shared" si="4"/>
        <v>41</v>
      </c>
      <c r="L44" s="69" t="str">
        <f t="shared" si="1"/>
        <v>Order 41</v>
      </c>
      <c r="M44" s="17">
        <v>14.0</v>
      </c>
      <c r="N44" s="106">
        <f t="shared" si="2"/>
        <v>17.5</v>
      </c>
      <c r="O44" s="107">
        <v>0.15</v>
      </c>
      <c r="P44" s="108">
        <f t="shared" si="3"/>
        <v>20.125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17"/>
      <c r="B45" s="17"/>
      <c r="C45" s="17"/>
      <c r="D45" s="17"/>
      <c r="E45" s="96"/>
      <c r="F45" s="17"/>
      <c r="G45" s="17"/>
      <c r="H45" s="17"/>
      <c r="I45" s="17"/>
      <c r="J45" s="17"/>
      <c r="K45" s="22">
        <f t="shared" si="4"/>
        <v>42</v>
      </c>
      <c r="L45" s="69" t="str">
        <f t="shared" si="1"/>
        <v>Order 42</v>
      </c>
      <c r="M45" s="17">
        <v>12.0</v>
      </c>
      <c r="N45" s="106">
        <f t="shared" si="2"/>
        <v>15</v>
      </c>
      <c r="O45" s="107">
        <v>0.15</v>
      </c>
      <c r="P45" s="108">
        <f t="shared" si="3"/>
        <v>17.25</v>
      </c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7"/>
      <c r="B46" s="17"/>
      <c r="C46" s="17"/>
      <c r="D46" s="17"/>
      <c r="E46" s="96"/>
      <c r="F46" s="17"/>
      <c r="G46" s="17"/>
      <c r="H46" s="17"/>
      <c r="I46" s="17"/>
      <c r="J46" s="17"/>
      <c r="K46" s="22">
        <f t="shared" si="4"/>
        <v>43</v>
      </c>
      <c r="L46" s="69" t="str">
        <f t="shared" si="1"/>
        <v>Order 43</v>
      </c>
      <c r="M46" s="17">
        <v>15.0</v>
      </c>
      <c r="N46" s="106">
        <f t="shared" si="2"/>
        <v>18.75</v>
      </c>
      <c r="O46" s="107">
        <v>0.18</v>
      </c>
      <c r="P46" s="108">
        <f t="shared" si="3"/>
        <v>22.125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17"/>
      <c r="B47" s="17"/>
      <c r="C47" s="17"/>
      <c r="D47" s="17"/>
      <c r="E47" s="96"/>
      <c r="F47" s="17"/>
      <c r="G47" s="17"/>
      <c r="H47" s="17"/>
      <c r="I47" s="17"/>
      <c r="J47" s="17"/>
      <c r="K47" s="22">
        <f t="shared" si="4"/>
        <v>44</v>
      </c>
      <c r="L47" s="69" t="str">
        <f t="shared" si="1"/>
        <v>Order 44</v>
      </c>
      <c r="M47" s="17">
        <v>18.0</v>
      </c>
      <c r="N47" s="106">
        <f t="shared" si="2"/>
        <v>22.5</v>
      </c>
      <c r="O47" s="107">
        <v>0.18</v>
      </c>
      <c r="P47" s="108">
        <f t="shared" si="3"/>
        <v>26.55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17"/>
      <c r="B48" s="17"/>
      <c r="C48" s="17"/>
      <c r="D48" s="17"/>
      <c r="E48" s="96"/>
      <c r="F48" s="17"/>
      <c r="G48" s="17"/>
      <c r="H48" s="17"/>
      <c r="I48" s="17"/>
      <c r="J48" s="17"/>
      <c r="K48" s="22">
        <f t="shared" si="4"/>
        <v>45</v>
      </c>
      <c r="L48" s="69" t="str">
        <f t="shared" si="1"/>
        <v>Order 45</v>
      </c>
      <c r="M48" s="17">
        <v>8.0</v>
      </c>
      <c r="N48" s="106">
        <f t="shared" si="2"/>
        <v>10</v>
      </c>
      <c r="O48" s="107">
        <v>0.15</v>
      </c>
      <c r="P48" s="108">
        <f t="shared" si="3"/>
        <v>11.5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7"/>
      <c r="B49" s="17"/>
      <c r="C49" s="17"/>
      <c r="D49" s="17"/>
      <c r="E49" s="96"/>
      <c r="F49" s="17"/>
      <c r="G49" s="17"/>
      <c r="H49" s="17"/>
      <c r="I49" s="17"/>
      <c r="J49" s="17"/>
      <c r="K49" s="22">
        <f t="shared" si="4"/>
        <v>46</v>
      </c>
      <c r="L49" s="69" t="str">
        <f t="shared" si="1"/>
        <v>Order 46</v>
      </c>
      <c r="M49" s="17">
        <v>12.0</v>
      </c>
      <c r="N49" s="106">
        <f t="shared" si="2"/>
        <v>15</v>
      </c>
      <c r="O49" s="107">
        <v>0.15</v>
      </c>
      <c r="P49" s="108">
        <f t="shared" si="3"/>
        <v>17.25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17"/>
      <c r="B50" s="17"/>
      <c r="C50" s="17"/>
      <c r="D50" s="17"/>
      <c r="E50" s="96"/>
      <c r="F50" s="17"/>
      <c r="G50" s="17"/>
      <c r="H50" s="17"/>
      <c r="I50" s="17"/>
      <c r="J50" s="17"/>
      <c r="K50" s="22">
        <f t="shared" si="4"/>
        <v>47</v>
      </c>
      <c r="L50" s="69" t="str">
        <f t="shared" si="1"/>
        <v>Order 47</v>
      </c>
      <c r="M50" s="17">
        <v>16.0</v>
      </c>
      <c r="N50" s="106">
        <f t="shared" si="2"/>
        <v>20</v>
      </c>
      <c r="O50" s="107">
        <v>0.18</v>
      </c>
      <c r="P50" s="108">
        <f t="shared" si="3"/>
        <v>23.6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7"/>
      <c r="B51" s="17"/>
      <c r="C51" s="17"/>
      <c r="D51" s="17"/>
      <c r="E51" s="96"/>
      <c r="F51" s="17"/>
      <c r="G51" s="17"/>
      <c r="H51" s="17"/>
      <c r="I51" s="17"/>
      <c r="J51" s="17"/>
      <c r="K51" s="22">
        <f t="shared" si="4"/>
        <v>48</v>
      </c>
      <c r="L51" s="69" t="str">
        <f t="shared" si="1"/>
        <v>Order 48</v>
      </c>
      <c r="M51" s="17">
        <v>13.0</v>
      </c>
      <c r="N51" s="106">
        <f t="shared" si="2"/>
        <v>16.25</v>
      </c>
      <c r="O51" s="107">
        <v>0.18</v>
      </c>
      <c r="P51" s="108">
        <f t="shared" si="3"/>
        <v>19.175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17"/>
      <c r="B52" s="17"/>
      <c r="C52" s="17"/>
      <c r="D52" s="17"/>
      <c r="E52" s="96"/>
      <c r="F52" s="17"/>
      <c r="G52" s="17"/>
      <c r="H52" s="17"/>
      <c r="I52" s="17"/>
      <c r="J52" s="17"/>
      <c r="K52" s="22">
        <f t="shared" si="4"/>
        <v>49</v>
      </c>
      <c r="L52" s="69" t="str">
        <f t="shared" si="1"/>
        <v>Order 49</v>
      </c>
      <c r="M52" s="17">
        <v>5.0</v>
      </c>
      <c r="N52" s="106">
        <f t="shared" si="2"/>
        <v>6.25</v>
      </c>
      <c r="O52" s="107">
        <v>0.18</v>
      </c>
      <c r="P52" s="108">
        <f t="shared" si="3"/>
        <v>7.375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17"/>
      <c r="B53" s="17"/>
      <c r="C53" s="17"/>
      <c r="D53" s="17"/>
      <c r="E53" s="96"/>
      <c r="F53" s="17"/>
      <c r="G53" s="17"/>
      <c r="H53" s="17"/>
      <c r="I53" s="17"/>
      <c r="J53" s="17"/>
      <c r="K53" s="22">
        <f t="shared" si="4"/>
        <v>50</v>
      </c>
      <c r="L53" s="69" t="str">
        <f t="shared" si="1"/>
        <v>Order 50</v>
      </c>
      <c r="M53" s="17">
        <v>15.0</v>
      </c>
      <c r="N53" s="106">
        <f t="shared" si="2"/>
        <v>18.75</v>
      </c>
      <c r="O53" s="107">
        <v>0.18</v>
      </c>
      <c r="P53" s="108">
        <f t="shared" si="3"/>
        <v>22.125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7"/>
      <c r="B54" s="17"/>
      <c r="C54" s="17"/>
      <c r="D54" s="17"/>
      <c r="E54" s="96"/>
      <c r="F54" s="17"/>
      <c r="G54" s="17"/>
      <c r="H54" s="17"/>
      <c r="I54" s="17"/>
      <c r="J54" s="17"/>
      <c r="K54" s="22">
        <f t="shared" si="4"/>
        <v>51</v>
      </c>
      <c r="L54" s="69" t="str">
        <f t="shared" si="1"/>
        <v>Order 51</v>
      </c>
      <c r="M54" s="17">
        <v>8.0</v>
      </c>
      <c r="N54" s="106">
        <f t="shared" si="2"/>
        <v>10</v>
      </c>
      <c r="O54" s="107">
        <v>0.15</v>
      </c>
      <c r="P54" s="108">
        <f t="shared" si="3"/>
        <v>11.5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17"/>
      <c r="B55" s="17"/>
      <c r="C55" s="17"/>
      <c r="D55" s="17"/>
      <c r="E55" s="96"/>
      <c r="F55" s="17"/>
      <c r="G55" s="17"/>
      <c r="H55" s="17"/>
      <c r="I55" s="17"/>
      <c r="J55" s="17"/>
      <c r="K55" s="22">
        <f t="shared" si="4"/>
        <v>52</v>
      </c>
      <c r="L55" s="69" t="str">
        <f t="shared" si="1"/>
        <v>Order 52</v>
      </c>
      <c r="M55" s="17">
        <v>12.0</v>
      </c>
      <c r="N55" s="106">
        <f t="shared" si="2"/>
        <v>15</v>
      </c>
      <c r="O55" s="107">
        <v>0.18</v>
      </c>
      <c r="P55" s="108">
        <f t="shared" si="3"/>
        <v>17.7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17"/>
      <c r="B56" s="17"/>
      <c r="C56" s="17"/>
      <c r="D56" s="17"/>
      <c r="E56" s="96"/>
      <c r="F56" s="17"/>
      <c r="G56" s="17"/>
      <c r="H56" s="17"/>
      <c r="I56" s="17"/>
      <c r="J56" s="17"/>
      <c r="K56" s="22">
        <f t="shared" si="4"/>
        <v>53</v>
      </c>
      <c r="L56" s="69" t="str">
        <f t="shared" si="1"/>
        <v>Order 53</v>
      </c>
      <c r="M56" s="17">
        <v>7.0</v>
      </c>
      <c r="N56" s="106">
        <f t="shared" si="2"/>
        <v>8.75</v>
      </c>
      <c r="O56" s="107">
        <v>0.15</v>
      </c>
      <c r="P56" s="108">
        <f t="shared" si="3"/>
        <v>10.0625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17"/>
      <c r="B57" s="17"/>
      <c r="C57" s="17"/>
      <c r="D57" s="17"/>
      <c r="E57" s="96"/>
      <c r="F57" s="17"/>
      <c r="G57" s="17"/>
      <c r="H57" s="17"/>
      <c r="I57" s="17"/>
      <c r="J57" s="17"/>
      <c r="K57" s="22">
        <f t="shared" si="4"/>
        <v>54</v>
      </c>
      <c r="L57" s="69" t="str">
        <f t="shared" si="1"/>
        <v>Order 54</v>
      </c>
      <c r="M57" s="17">
        <v>5.0</v>
      </c>
      <c r="N57" s="106">
        <f t="shared" si="2"/>
        <v>6.25</v>
      </c>
      <c r="O57" s="107">
        <v>0.18</v>
      </c>
      <c r="P57" s="108">
        <f t="shared" si="3"/>
        <v>7.375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17"/>
      <c r="B58" s="17"/>
      <c r="C58" s="17"/>
      <c r="D58" s="17"/>
      <c r="E58" s="96"/>
      <c r="F58" s="17"/>
      <c r="G58" s="17"/>
      <c r="H58" s="17"/>
      <c r="I58" s="17"/>
      <c r="J58" s="17"/>
      <c r="K58" s="22">
        <f t="shared" si="4"/>
        <v>55</v>
      </c>
      <c r="L58" s="69" t="str">
        <f t="shared" si="1"/>
        <v>Order 55</v>
      </c>
      <c r="M58" s="17">
        <v>16.0</v>
      </c>
      <c r="N58" s="106">
        <f t="shared" si="2"/>
        <v>20</v>
      </c>
      <c r="O58" s="107">
        <v>0.15</v>
      </c>
      <c r="P58" s="108">
        <f t="shared" si="3"/>
        <v>23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17"/>
      <c r="B59" s="17"/>
      <c r="C59" s="17"/>
      <c r="D59" s="17"/>
      <c r="E59" s="96"/>
      <c r="F59" s="17"/>
      <c r="G59" s="17"/>
      <c r="H59" s="17"/>
      <c r="I59" s="17"/>
      <c r="J59" s="17"/>
      <c r="K59" s="22">
        <f t="shared" si="4"/>
        <v>56</v>
      </c>
      <c r="L59" s="69" t="str">
        <f t="shared" si="1"/>
        <v>Order 56</v>
      </c>
      <c r="M59" s="17">
        <v>20.0</v>
      </c>
      <c r="N59" s="106">
        <f t="shared" si="2"/>
        <v>25</v>
      </c>
      <c r="O59" s="107">
        <v>0.18</v>
      </c>
      <c r="P59" s="108">
        <f t="shared" si="3"/>
        <v>29.5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17"/>
      <c r="B60" s="17"/>
      <c r="C60" s="17"/>
      <c r="D60" s="17"/>
      <c r="E60" s="96"/>
      <c r="F60" s="17"/>
      <c r="G60" s="17"/>
      <c r="H60" s="17"/>
      <c r="I60" s="17"/>
      <c r="J60" s="17"/>
      <c r="K60" s="22">
        <f t="shared" si="4"/>
        <v>57</v>
      </c>
      <c r="L60" s="69" t="str">
        <f t="shared" si="1"/>
        <v>Order 57</v>
      </c>
      <c r="M60" s="17">
        <v>9.0</v>
      </c>
      <c r="N60" s="106">
        <f t="shared" si="2"/>
        <v>11.25</v>
      </c>
      <c r="O60" s="107">
        <v>0.15</v>
      </c>
      <c r="P60" s="108">
        <f t="shared" si="3"/>
        <v>12.9375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17"/>
      <c r="B61" s="17"/>
      <c r="C61" s="17"/>
      <c r="D61" s="17"/>
      <c r="E61" s="96"/>
      <c r="F61" s="17"/>
      <c r="G61" s="17"/>
      <c r="H61" s="17"/>
      <c r="I61" s="17"/>
      <c r="J61" s="17"/>
      <c r="K61" s="22">
        <f t="shared" si="4"/>
        <v>58</v>
      </c>
      <c r="L61" s="69" t="str">
        <f t="shared" si="1"/>
        <v>Order 58</v>
      </c>
      <c r="M61" s="17">
        <v>11.0</v>
      </c>
      <c r="N61" s="106">
        <f t="shared" si="2"/>
        <v>13.75</v>
      </c>
      <c r="O61" s="107">
        <v>0.15</v>
      </c>
      <c r="P61" s="108">
        <f t="shared" si="3"/>
        <v>15.8125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17"/>
      <c r="B62" s="17"/>
      <c r="C62" s="17"/>
      <c r="D62" s="17"/>
      <c r="E62" s="96"/>
      <c r="F62" s="17"/>
      <c r="G62" s="17"/>
      <c r="H62" s="17"/>
      <c r="I62" s="17"/>
      <c r="J62" s="17"/>
      <c r="K62" s="22">
        <f t="shared" si="4"/>
        <v>59</v>
      </c>
      <c r="L62" s="69" t="str">
        <f t="shared" si="1"/>
        <v>Order 59</v>
      </c>
      <c r="M62" s="17">
        <v>7.0</v>
      </c>
      <c r="N62" s="106">
        <f t="shared" si="2"/>
        <v>8.75</v>
      </c>
      <c r="O62" s="107">
        <v>0.15</v>
      </c>
      <c r="P62" s="108">
        <f t="shared" si="3"/>
        <v>10.0625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17"/>
      <c r="B63" s="17"/>
      <c r="C63" s="17"/>
      <c r="D63" s="17"/>
      <c r="E63" s="96"/>
      <c r="F63" s="17"/>
      <c r="G63" s="17"/>
      <c r="H63" s="17"/>
      <c r="I63" s="17"/>
      <c r="J63" s="17"/>
      <c r="K63" s="22">
        <f t="shared" si="4"/>
        <v>60</v>
      </c>
      <c r="L63" s="69" t="str">
        <f t="shared" si="1"/>
        <v>Order 60</v>
      </c>
      <c r="M63" s="17">
        <v>4.0</v>
      </c>
      <c r="N63" s="106">
        <f t="shared" si="2"/>
        <v>5</v>
      </c>
      <c r="O63" s="107">
        <v>0.18</v>
      </c>
      <c r="P63" s="108">
        <f t="shared" si="3"/>
        <v>5.9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17"/>
      <c r="B64" s="17"/>
      <c r="C64" s="17"/>
      <c r="D64" s="17"/>
      <c r="E64" s="96"/>
      <c r="F64" s="17"/>
      <c r="G64" s="17"/>
      <c r="H64" s="17"/>
      <c r="I64" s="17"/>
      <c r="J64" s="17"/>
      <c r="K64" s="22">
        <f t="shared" si="4"/>
        <v>61</v>
      </c>
      <c r="L64" s="69" t="str">
        <f t="shared" si="1"/>
        <v>Order 61</v>
      </c>
      <c r="M64" s="17">
        <v>13.0</v>
      </c>
      <c r="N64" s="106">
        <f t="shared" si="2"/>
        <v>16.25</v>
      </c>
      <c r="O64" s="107">
        <v>0.15</v>
      </c>
      <c r="P64" s="108">
        <f t="shared" si="3"/>
        <v>18.6875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17"/>
      <c r="B65" s="17"/>
      <c r="C65" s="17"/>
      <c r="D65" s="17"/>
      <c r="E65" s="96"/>
      <c r="F65" s="17"/>
      <c r="G65" s="17"/>
      <c r="H65" s="17"/>
      <c r="I65" s="17"/>
      <c r="J65" s="17"/>
      <c r="K65" s="22">
        <f t="shared" si="4"/>
        <v>62</v>
      </c>
      <c r="L65" s="69" t="str">
        <f t="shared" si="1"/>
        <v>Order 62</v>
      </c>
      <c r="M65" s="17">
        <v>19.0</v>
      </c>
      <c r="N65" s="106">
        <f t="shared" si="2"/>
        <v>23.75</v>
      </c>
      <c r="O65" s="107">
        <v>0.15</v>
      </c>
      <c r="P65" s="108">
        <f t="shared" si="3"/>
        <v>27.3125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17"/>
      <c r="B66" s="17"/>
      <c r="C66" s="17"/>
      <c r="D66" s="17"/>
      <c r="E66" s="96"/>
      <c r="F66" s="17"/>
      <c r="G66" s="17"/>
      <c r="H66" s="17"/>
      <c r="I66" s="17"/>
      <c r="J66" s="17"/>
      <c r="K66" s="22">
        <f t="shared" si="4"/>
        <v>63</v>
      </c>
      <c r="L66" s="69" t="str">
        <f t="shared" si="1"/>
        <v>Order 63</v>
      </c>
      <c r="M66" s="17">
        <v>19.0</v>
      </c>
      <c r="N66" s="106">
        <f t="shared" si="2"/>
        <v>23.75</v>
      </c>
      <c r="O66" s="107">
        <v>0.15</v>
      </c>
      <c r="P66" s="108">
        <f t="shared" si="3"/>
        <v>27.3125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17"/>
      <c r="B67" s="17"/>
      <c r="C67" s="17"/>
      <c r="D67" s="17"/>
      <c r="E67" s="96"/>
      <c r="F67" s="17"/>
      <c r="G67" s="17"/>
      <c r="H67" s="17"/>
      <c r="I67" s="17"/>
      <c r="J67" s="17"/>
      <c r="K67" s="22">
        <f t="shared" si="4"/>
        <v>64</v>
      </c>
      <c r="L67" s="69" t="str">
        <f t="shared" si="1"/>
        <v>Order 64</v>
      </c>
      <c r="M67" s="17">
        <v>18.0</v>
      </c>
      <c r="N67" s="106">
        <f t="shared" si="2"/>
        <v>22.5</v>
      </c>
      <c r="O67" s="107">
        <v>0.15</v>
      </c>
      <c r="P67" s="108">
        <f t="shared" si="3"/>
        <v>25.875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17"/>
      <c r="B68" s="17"/>
      <c r="C68" s="17"/>
      <c r="D68" s="17"/>
      <c r="E68" s="96"/>
      <c r="F68" s="17"/>
      <c r="G68" s="17"/>
      <c r="H68" s="17"/>
      <c r="I68" s="17"/>
      <c r="J68" s="17"/>
      <c r="K68" s="22">
        <f t="shared" si="4"/>
        <v>65</v>
      </c>
      <c r="L68" s="69" t="str">
        <f t="shared" si="1"/>
        <v>Order 65</v>
      </c>
      <c r="M68" s="17">
        <v>17.0</v>
      </c>
      <c r="N68" s="106">
        <f t="shared" si="2"/>
        <v>21.25</v>
      </c>
      <c r="O68" s="107">
        <v>0.15</v>
      </c>
      <c r="P68" s="108">
        <f t="shared" si="3"/>
        <v>24.4375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7"/>
      <c r="B69" s="17"/>
      <c r="C69" s="17"/>
      <c r="D69" s="17"/>
      <c r="E69" s="96"/>
      <c r="F69" s="17"/>
      <c r="G69" s="17"/>
      <c r="H69" s="17"/>
      <c r="I69" s="17"/>
      <c r="J69" s="17"/>
      <c r="K69" s="22">
        <f t="shared" si="4"/>
        <v>66</v>
      </c>
      <c r="L69" s="69" t="str">
        <f t="shared" si="1"/>
        <v>Order 66</v>
      </c>
      <c r="M69" s="17">
        <v>19.0</v>
      </c>
      <c r="N69" s="106">
        <f t="shared" si="2"/>
        <v>23.75</v>
      </c>
      <c r="O69" s="107">
        <v>0.18</v>
      </c>
      <c r="P69" s="108">
        <f t="shared" si="3"/>
        <v>28.025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7"/>
      <c r="B70" s="17"/>
      <c r="C70" s="17"/>
      <c r="D70" s="17"/>
      <c r="E70" s="96"/>
      <c r="F70" s="17"/>
      <c r="G70" s="17"/>
      <c r="H70" s="17"/>
      <c r="I70" s="17"/>
      <c r="J70" s="17"/>
      <c r="K70" s="22">
        <f t="shared" si="4"/>
        <v>67</v>
      </c>
      <c r="L70" s="69" t="str">
        <f t="shared" si="1"/>
        <v>Order 67</v>
      </c>
      <c r="M70" s="17">
        <v>14.0</v>
      </c>
      <c r="N70" s="106">
        <f t="shared" si="2"/>
        <v>17.5</v>
      </c>
      <c r="O70" s="107">
        <v>0.15</v>
      </c>
      <c r="P70" s="108">
        <f t="shared" si="3"/>
        <v>20.125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7"/>
      <c r="B71" s="17"/>
      <c r="C71" s="17"/>
      <c r="D71" s="17"/>
      <c r="E71" s="96"/>
      <c r="F71" s="17"/>
      <c r="G71" s="17"/>
      <c r="H71" s="17"/>
      <c r="I71" s="17"/>
      <c r="J71" s="17"/>
      <c r="K71" s="22">
        <f t="shared" si="4"/>
        <v>68</v>
      </c>
      <c r="L71" s="69" t="str">
        <f t="shared" si="1"/>
        <v>Order 68</v>
      </c>
      <c r="M71" s="17">
        <v>20.0</v>
      </c>
      <c r="N71" s="106">
        <f t="shared" si="2"/>
        <v>25</v>
      </c>
      <c r="O71" s="107">
        <v>0.15</v>
      </c>
      <c r="P71" s="108">
        <f t="shared" si="3"/>
        <v>28.75</v>
      </c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7"/>
      <c r="B72" s="17"/>
      <c r="C72" s="17"/>
      <c r="D72" s="17"/>
      <c r="E72" s="96"/>
      <c r="F72" s="17"/>
      <c r="G72" s="17"/>
      <c r="H72" s="17"/>
      <c r="I72" s="17"/>
      <c r="J72" s="17"/>
      <c r="K72" s="22">
        <f t="shared" si="4"/>
        <v>69</v>
      </c>
      <c r="L72" s="69" t="str">
        <f t="shared" si="1"/>
        <v>Order 69</v>
      </c>
      <c r="M72" s="17">
        <v>7.0</v>
      </c>
      <c r="N72" s="106">
        <f t="shared" si="2"/>
        <v>8.75</v>
      </c>
      <c r="O72" s="107">
        <v>0.18</v>
      </c>
      <c r="P72" s="108">
        <f t="shared" si="3"/>
        <v>10.325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7"/>
      <c r="B73" s="17"/>
      <c r="C73" s="17"/>
      <c r="D73" s="17"/>
      <c r="E73" s="96"/>
      <c r="F73" s="17"/>
      <c r="G73" s="17"/>
      <c r="H73" s="17"/>
      <c r="I73" s="17"/>
      <c r="J73" s="17"/>
      <c r="K73" s="22">
        <f t="shared" si="4"/>
        <v>70</v>
      </c>
      <c r="L73" s="69" t="str">
        <f t="shared" si="1"/>
        <v>Order 70</v>
      </c>
      <c r="M73" s="17">
        <v>15.0</v>
      </c>
      <c r="N73" s="106">
        <f t="shared" si="2"/>
        <v>18.75</v>
      </c>
      <c r="O73" s="107">
        <v>0.15</v>
      </c>
      <c r="P73" s="108">
        <f t="shared" si="3"/>
        <v>21.5625</v>
      </c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7"/>
      <c r="B74" s="17"/>
      <c r="C74" s="17"/>
      <c r="D74" s="17"/>
      <c r="E74" s="96"/>
      <c r="F74" s="17"/>
      <c r="G74" s="17"/>
      <c r="H74" s="17"/>
      <c r="I74" s="17"/>
      <c r="J74" s="17"/>
      <c r="K74" s="22">
        <f t="shared" si="4"/>
        <v>71</v>
      </c>
      <c r="L74" s="69" t="str">
        <f t="shared" si="1"/>
        <v>Order 71</v>
      </c>
      <c r="M74" s="17">
        <v>14.0</v>
      </c>
      <c r="N74" s="106">
        <f t="shared" si="2"/>
        <v>17.5</v>
      </c>
      <c r="O74" s="107">
        <v>0.18</v>
      </c>
      <c r="P74" s="108">
        <f t="shared" si="3"/>
        <v>20.65</v>
      </c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7"/>
      <c r="B75" s="17"/>
      <c r="C75" s="17"/>
      <c r="D75" s="17"/>
      <c r="E75" s="96"/>
      <c r="F75" s="17"/>
      <c r="G75" s="17"/>
      <c r="H75" s="17"/>
      <c r="I75" s="17"/>
      <c r="J75" s="17"/>
      <c r="K75" s="22">
        <f t="shared" si="4"/>
        <v>72</v>
      </c>
      <c r="L75" s="69" t="str">
        <f t="shared" si="1"/>
        <v>Order 72</v>
      </c>
      <c r="M75" s="17">
        <v>16.0</v>
      </c>
      <c r="N75" s="106">
        <f t="shared" si="2"/>
        <v>20</v>
      </c>
      <c r="O75" s="107">
        <v>0.15</v>
      </c>
      <c r="P75" s="108">
        <f t="shared" si="3"/>
        <v>23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7"/>
      <c r="B76" s="17"/>
      <c r="C76" s="17"/>
      <c r="D76" s="17"/>
      <c r="E76" s="96"/>
      <c r="F76" s="17"/>
      <c r="G76" s="17"/>
      <c r="H76" s="17"/>
      <c r="I76" s="17"/>
      <c r="J76" s="17"/>
      <c r="K76" s="22">
        <f t="shared" si="4"/>
        <v>73</v>
      </c>
      <c r="L76" s="69" t="str">
        <f t="shared" si="1"/>
        <v>Order 73</v>
      </c>
      <c r="M76" s="17">
        <v>13.0</v>
      </c>
      <c r="N76" s="106">
        <f t="shared" si="2"/>
        <v>16.25</v>
      </c>
      <c r="O76" s="107">
        <v>0.18</v>
      </c>
      <c r="P76" s="108">
        <f t="shared" si="3"/>
        <v>19.175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7"/>
      <c r="B77" s="17"/>
      <c r="C77" s="17"/>
      <c r="D77" s="17"/>
      <c r="E77" s="96"/>
      <c r="F77" s="17"/>
      <c r="G77" s="17"/>
      <c r="H77" s="17"/>
      <c r="I77" s="17"/>
      <c r="J77" s="17"/>
      <c r="K77" s="22">
        <f t="shared" si="4"/>
        <v>74</v>
      </c>
      <c r="L77" s="69" t="str">
        <f t="shared" si="1"/>
        <v>Order 74</v>
      </c>
      <c r="M77" s="17">
        <v>7.0</v>
      </c>
      <c r="N77" s="106">
        <f t="shared" si="2"/>
        <v>8.75</v>
      </c>
      <c r="O77" s="107">
        <v>0.15</v>
      </c>
      <c r="P77" s="108">
        <f t="shared" si="3"/>
        <v>10.0625</v>
      </c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7"/>
      <c r="B78" s="17"/>
      <c r="C78" s="17"/>
      <c r="D78" s="17"/>
      <c r="E78" s="96"/>
      <c r="F78" s="17"/>
      <c r="G78" s="17"/>
      <c r="H78" s="17"/>
      <c r="I78" s="17"/>
      <c r="J78" s="17"/>
      <c r="K78" s="22">
        <f t="shared" si="4"/>
        <v>75</v>
      </c>
      <c r="L78" s="69" t="str">
        <f t="shared" si="1"/>
        <v>Order 75</v>
      </c>
      <c r="M78" s="17">
        <v>7.0</v>
      </c>
      <c r="N78" s="106">
        <f t="shared" si="2"/>
        <v>8.75</v>
      </c>
      <c r="O78" s="107">
        <v>0.18</v>
      </c>
      <c r="P78" s="108">
        <f t="shared" si="3"/>
        <v>10.325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7"/>
      <c r="B79" s="17"/>
      <c r="C79" s="17"/>
      <c r="D79" s="17"/>
      <c r="E79" s="96"/>
      <c r="F79" s="17"/>
      <c r="G79" s="17"/>
      <c r="H79" s="17"/>
      <c r="I79" s="17"/>
      <c r="J79" s="17"/>
      <c r="K79" s="22">
        <f t="shared" si="4"/>
        <v>76</v>
      </c>
      <c r="L79" s="69" t="str">
        <f t="shared" si="1"/>
        <v>Order 76</v>
      </c>
      <c r="M79" s="17">
        <v>15.0</v>
      </c>
      <c r="N79" s="106">
        <f t="shared" si="2"/>
        <v>18.75</v>
      </c>
      <c r="O79" s="107">
        <v>0.15</v>
      </c>
      <c r="P79" s="108">
        <f t="shared" si="3"/>
        <v>21.5625</v>
      </c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7"/>
      <c r="B80" s="17"/>
      <c r="C80" s="17"/>
      <c r="D80" s="17"/>
      <c r="E80" s="96"/>
      <c r="F80" s="17"/>
      <c r="G80" s="17"/>
      <c r="H80" s="17"/>
      <c r="I80" s="17"/>
      <c r="J80" s="17"/>
      <c r="K80" s="22">
        <f t="shared" si="4"/>
        <v>77</v>
      </c>
      <c r="L80" s="69" t="str">
        <f t="shared" si="1"/>
        <v>Order 77</v>
      </c>
      <c r="M80" s="17">
        <v>14.0</v>
      </c>
      <c r="N80" s="106">
        <f t="shared" si="2"/>
        <v>17.5</v>
      </c>
      <c r="O80" s="107">
        <v>0.18</v>
      </c>
      <c r="P80" s="108">
        <f t="shared" si="3"/>
        <v>20.65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17"/>
      <c r="B81" s="17"/>
      <c r="C81" s="17"/>
      <c r="D81" s="17"/>
      <c r="E81" s="96"/>
      <c r="F81" s="17"/>
      <c r="G81" s="17"/>
      <c r="H81" s="17"/>
      <c r="I81" s="17"/>
      <c r="J81" s="17"/>
      <c r="K81" s="22">
        <f t="shared" si="4"/>
        <v>78</v>
      </c>
      <c r="L81" s="69" t="str">
        <f t="shared" si="1"/>
        <v>Order 78</v>
      </c>
      <c r="M81" s="17">
        <v>15.0</v>
      </c>
      <c r="N81" s="106">
        <f t="shared" si="2"/>
        <v>18.75</v>
      </c>
      <c r="O81" s="107">
        <v>0.15</v>
      </c>
      <c r="P81" s="108">
        <f t="shared" si="3"/>
        <v>21.5625</v>
      </c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7"/>
      <c r="B82" s="17"/>
      <c r="C82" s="17"/>
      <c r="D82" s="17"/>
      <c r="E82" s="96"/>
      <c r="F82" s="17"/>
      <c r="G82" s="17"/>
      <c r="H82" s="17"/>
      <c r="I82" s="17"/>
      <c r="J82" s="17"/>
      <c r="K82" s="22">
        <f t="shared" si="4"/>
        <v>79</v>
      </c>
      <c r="L82" s="69" t="str">
        <f t="shared" si="1"/>
        <v>Order 79</v>
      </c>
      <c r="M82" s="17">
        <v>20.0</v>
      </c>
      <c r="N82" s="106">
        <f t="shared" si="2"/>
        <v>25</v>
      </c>
      <c r="O82" s="107">
        <v>0.18</v>
      </c>
      <c r="P82" s="108">
        <f t="shared" si="3"/>
        <v>29.5</v>
      </c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7"/>
      <c r="B83" s="17"/>
      <c r="C83" s="17"/>
      <c r="D83" s="17"/>
      <c r="E83" s="96"/>
      <c r="F83" s="17"/>
      <c r="G83" s="17"/>
      <c r="H83" s="17"/>
      <c r="I83" s="17"/>
      <c r="J83" s="17"/>
      <c r="K83" s="22">
        <f t="shared" si="4"/>
        <v>80</v>
      </c>
      <c r="L83" s="69" t="str">
        <f t="shared" si="1"/>
        <v>Order 80</v>
      </c>
      <c r="M83" s="17">
        <v>16.0</v>
      </c>
      <c r="N83" s="106">
        <f t="shared" si="2"/>
        <v>20</v>
      </c>
      <c r="O83" s="107">
        <v>0.15</v>
      </c>
      <c r="P83" s="108">
        <f t="shared" si="3"/>
        <v>23</v>
      </c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17"/>
      <c r="B84" s="17"/>
      <c r="C84" s="17"/>
      <c r="D84" s="17"/>
      <c r="E84" s="96"/>
      <c r="F84" s="17"/>
      <c r="G84" s="17"/>
      <c r="H84" s="17"/>
      <c r="I84" s="17"/>
      <c r="J84" s="17"/>
      <c r="K84" s="22">
        <f t="shared" si="4"/>
        <v>81</v>
      </c>
      <c r="L84" s="69" t="str">
        <f t="shared" si="1"/>
        <v>Order 81</v>
      </c>
      <c r="M84" s="17">
        <v>17.0</v>
      </c>
      <c r="N84" s="106">
        <f t="shared" si="2"/>
        <v>21.25</v>
      </c>
      <c r="O84" s="107">
        <v>0.18</v>
      </c>
      <c r="P84" s="108">
        <f t="shared" si="3"/>
        <v>25.075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17"/>
      <c r="B85" s="17"/>
      <c r="C85" s="17"/>
      <c r="D85" s="17"/>
      <c r="E85" s="96"/>
      <c r="F85" s="17"/>
      <c r="G85" s="17"/>
      <c r="H85" s="17"/>
      <c r="I85" s="17"/>
      <c r="J85" s="17"/>
      <c r="K85" s="22">
        <f t="shared" si="4"/>
        <v>82</v>
      </c>
      <c r="L85" s="69" t="str">
        <f t="shared" si="1"/>
        <v>Order 82</v>
      </c>
      <c r="M85" s="17">
        <v>13.0</v>
      </c>
      <c r="N85" s="106">
        <f t="shared" si="2"/>
        <v>16.25</v>
      </c>
      <c r="O85" s="107">
        <v>0.18</v>
      </c>
      <c r="P85" s="108">
        <f t="shared" si="3"/>
        <v>19.175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7"/>
      <c r="B86" s="17"/>
      <c r="C86" s="17"/>
      <c r="D86" s="17"/>
      <c r="E86" s="96"/>
      <c r="F86" s="17"/>
      <c r="G86" s="17"/>
      <c r="H86" s="17"/>
      <c r="I86" s="17"/>
      <c r="J86" s="17"/>
      <c r="K86" s="22">
        <f t="shared" si="4"/>
        <v>83</v>
      </c>
      <c r="L86" s="69" t="str">
        <f t="shared" si="1"/>
        <v>Order 83</v>
      </c>
      <c r="M86" s="17">
        <v>4.0</v>
      </c>
      <c r="N86" s="106">
        <f t="shared" si="2"/>
        <v>5</v>
      </c>
      <c r="O86" s="107">
        <v>0.18</v>
      </c>
      <c r="P86" s="108">
        <f t="shared" si="3"/>
        <v>5.9</v>
      </c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17"/>
      <c r="B87" s="17"/>
      <c r="C87" s="17"/>
      <c r="D87" s="17"/>
      <c r="E87" s="96"/>
      <c r="F87" s="17"/>
      <c r="G87" s="17"/>
      <c r="H87" s="17"/>
      <c r="I87" s="17"/>
      <c r="J87" s="17"/>
      <c r="K87" s="22">
        <f t="shared" si="4"/>
        <v>84</v>
      </c>
      <c r="L87" s="69" t="str">
        <f t="shared" si="1"/>
        <v>Order 84</v>
      </c>
      <c r="M87" s="17">
        <v>17.0</v>
      </c>
      <c r="N87" s="106">
        <f t="shared" si="2"/>
        <v>21.25</v>
      </c>
      <c r="O87" s="107">
        <v>0.18</v>
      </c>
      <c r="P87" s="108">
        <f t="shared" si="3"/>
        <v>25.075</v>
      </c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17"/>
      <c r="B88" s="17"/>
      <c r="C88" s="17"/>
      <c r="D88" s="17"/>
      <c r="E88" s="96"/>
      <c r="F88" s="17"/>
      <c r="G88" s="17"/>
      <c r="H88" s="17"/>
      <c r="I88" s="17"/>
      <c r="J88" s="17"/>
      <c r="K88" s="22">
        <f t="shared" si="4"/>
        <v>85</v>
      </c>
      <c r="L88" s="69" t="str">
        <f t="shared" si="1"/>
        <v>Order 85</v>
      </c>
      <c r="M88" s="17">
        <v>7.0</v>
      </c>
      <c r="N88" s="106">
        <f t="shared" si="2"/>
        <v>8.75</v>
      </c>
      <c r="O88" s="107">
        <v>0.18</v>
      </c>
      <c r="P88" s="108">
        <f t="shared" si="3"/>
        <v>10.325</v>
      </c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17"/>
      <c r="B89" s="17"/>
      <c r="C89" s="17"/>
      <c r="D89" s="17"/>
      <c r="E89" s="96"/>
      <c r="F89" s="17"/>
      <c r="G89" s="17"/>
      <c r="H89" s="17"/>
      <c r="I89" s="17"/>
      <c r="J89" s="17"/>
      <c r="K89" s="22">
        <f t="shared" si="4"/>
        <v>86</v>
      </c>
      <c r="L89" s="69" t="str">
        <f t="shared" si="1"/>
        <v>Order 86</v>
      </c>
      <c r="M89" s="17">
        <v>6.0</v>
      </c>
      <c r="N89" s="106">
        <f t="shared" si="2"/>
        <v>7.5</v>
      </c>
      <c r="O89" s="107">
        <v>0.18</v>
      </c>
      <c r="P89" s="108">
        <f t="shared" si="3"/>
        <v>8.85</v>
      </c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17"/>
      <c r="B90" s="17"/>
      <c r="C90" s="17"/>
      <c r="D90" s="17"/>
      <c r="E90" s="96"/>
      <c r="F90" s="17"/>
      <c r="G90" s="17"/>
      <c r="H90" s="17"/>
      <c r="I90" s="17"/>
      <c r="J90" s="17"/>
      <c r="K90" s="22">
        <f t="shared" si="4"/>
        <v>87</v>
      </c>
      <c r="L90" s="69" t="str">
        <f t="shared" si="1"/>
        <v>Order 87</v>
      </c>
      <c r="M90" s="17">
        <v>12.0</v>
      </c>
      <c r="N90" s="106">
        <f t="shared" si="2"/>
        <v>15</v>
      </c>
      <c r="O90" s="107">
        <v>0.15</v>
      </c>
      <c r="P90" s="108">
        <f t="shared" si="3"/>
        <v>17.25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7"/>
      <c r="B91" s="17"/>
      <c r="C91" s="17"/>
      <c r="D91" s="17"/>
      <c r="E91" s="96"/>
      <c r="F91" s="17"/>
      <c r="G91" s="17"/>
      <c r="H91" s="17"/>
      <c r="I91" s="17"/>
      <c r="J91" s="17"/>
      <c r="K91" s="22">
        <f t="shared" si="4"/>
        <v>88</v>
      </c>
      <c r="L91" s="69" t="str">
        <f t="shared" si="1"/>
        <v>Order 88</v>
      </c>
      <c r="M91" s="17">
        <v>6.0</v>
      </c>
      <c r="N91" s="106">
        <f t="shared" si="2"/>
        <v>7.5</v>
      </c>
      <c r="O91" s="107">
        <v>0.15</v>
      </c>
      <c r="P91" s="108">
        <f t="shared" si="3"/>
        <v>8.625</v>
      </c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7"/>
      <c r="B92" s="17"/>
      <c r="C92" s="17"/>
      <c r="D92" s="17"/>
      <c r="E92" s="96"/>
      <c r="F92" s="17"/>
      <c r="G92" s="17"/>
      <c r="H92" s="17"/>
      <c r="I92" s="17"/>
      <c r="J92" s="17"/>
      <c r="K92" s="22">
        <f t="shared" si="4"/>
        <v>89</v>
      </c>
      <c r="L92" s="69" t="str">
        <f t="shared" si="1"/>
        <v>Order 89</v>
      </c>
      <c r="M92" s="17">
        <v>17.0</v>
      </c>
      <c r="N92" s="106">
        <f t="shared" si="2"/>
        <v>21.25</v>
      </c>
      <c r="O92" s="107">
        <v>0.15</v>
      </c>
      <c r="P92" s="108">
        <f t="shared" si="3"/>
        <v>24.4375</v>
      </c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17"/>
      <c r="B93" s="17"/>
      <c r="C93" s="17"/>
      <c r="D93" s="17"/>
      <c r="E93" s="96"/>
      <c r="F93" s="17"/>
      <c r="G93" s="17"/>
      <c r="H93" s="17"/>
      <c r="I93" s="17"/>
      <c r="J93" s="17"/>
      <c r="K93" s="22">
        <f t="shared" si="4"/>
        <v>90</v>
      </c>
      <c r="L93" s="69" t="str">
        <f t="shared" si="1"/>
        <v>Order 90</v>
      </c>
      <c r="M93" s="17">
        <v>5.0</v>
      </c>
      <c r="N93" s="106">
        <f t="shared" si="2"/>
        <v>6.25</v>
      </c>
      <c r="O93" s="107">
        <v>0.15</v>
      </c>
      <c r="P93" s="108">
        <f t="shared" si="3"/>
        <v>7.1875</v>
      </c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7"/>
      <c r="B94" s="17"/>
      <c r="C94" s="17"/>
      <c r="D94" s="17"/>
      <c r="E94" s="96"/>
      <c r="F94" s="17"/>
      <c r="G94" s="17"/>
      <c r="H94" s="17"/>
      <c r="I94" s="17"/>
      <c r="J94" s="17"/>
      <c r="K94" s="22">
        <f t="shared" si="4"/>
        <v>91</v>
      </c>
      <c r="L94" s="69" t="str">
        <f t="shared" si="1"/>
        <v>Order 91</v>
      </c>
      <c r="M94" s="17">
        <v>8.0</v>
      </c>
      <c r="N94" s="106">
        <f t="shared" si="2"/>
        <v>10</v>
      </c>
      <c r="O94" s="107">
        <v>0.15</v>
      </c>
      <c r="P94" s="108">
        <f t="shared" si="3"/>
        <v>11.5</v>
      </c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7"/>
      <c r="B95" s="17"/>
      <c r="C95" s="17"/>
      <c r="D95" s="17"/>
      <c r="E95" s="96"/>
      <c r="F95" s="17"/>
      <c r="G95" s="17"/>
      <c r="H95" s="17"/>
      <c r="I95" s="17"/>
      <c r="J95" s="17"/>
      <c r="K95" s="22">
        <f t="shared" si="4"/>
        <v>92</v>
      </c>
      <c r="L95" s="69" t="str">
        <f t="shared" si="1"/>
        <v>Order 92</v>
      </c>
      <c r="M95" s="17">
        <v>12.0</v>
      </c>
      <c r="N95" s="106">
        <f t="shared" si="2"/>
        <v>15</v>
      </c>
      <c r="O95" s="107">
        <v>0.15</v>
      </c>
      <c r="P95" s="108">
        <f t="shared" si="3"/>
        <v>17.25</v>
      </c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17"/>
      <c r="B96" s="17"/>
      <c r="C96" s="17"/>
      <c r="D96" s="17"/>
      <c r="E96" s="96"/>
      <c r="F96" s="17"/>
      <c r="G96" s="17"/>
      <c r="H96" s="17"/>
      <c r="I96" s="17"/>
      <c r="J96" s="17"/>
      <c r="K96" s="22">
        <f t="shared" si="4"/>
        <v>93</v>
      </c>
      <c r="L96" s="69" t="str">
        <f t="shared" si="1"/>
        <v>Order 93</v>
      </c>
      <c r="M96" s="17">
        <v>8.0</v>
      </c>
      <c r="N96" s="106">
        <f t="shared" si="2"/>
        <v>10</v>
      </c>
      <c r="O96" s="107">
        <v>0.15</v>
      </c>
      <c r="P96" s="108">
        <f t="shared" si="3"/>
        <v>11.5</v>
      </c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7"/>
      <c r="B97" s="17"/>
      <c r="C97" s="17"/>
      <c r="D97" s="17"/>
      <c r="E97" s="96"/>
      <c r="F97" s="17"/>
      <c r="G97" s="17"/>
      <c r="H97" s="17"/>
      <c r="I97" s="17"/>
      <c r="J97" s="17"/>
      <c r="K97" s="22">
        <f t="shared" si="4"/>
        <v>94</v>
      </c>
      <c r="L97" s="69" t="str">
        <f t="shared" si="1"/>
        <v>Order 94</v>
      </c>
      <c r="M97" s="17">
        <v>7.0</v>
      </c>
      <c r="N97" s="106">
        <f t="shared" si="2"/>
        <v>8.75</v>
      </c>
      <c r="O97" s="107">
        <v>0.18</v>
      </c>
      <c r="P97" s="108">
        <f t="shared" si="3"/>
        <v>10.325</v>
      </c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7"/>
      <c r="B98" s="17"/>
      <c r="C98" s="17"/>
      <c r="D98" s="17"/>
      <c r="E98" s="96"/>
      <c r="F98" s="17"/>
      <c r="G98" s="17"/>
      <c r="H98" s="17"/>
      <c r="I98" s="17"/>
      <c r="J98" s="17"/>
      <c r="K98" s="22">
        <f t="shared" si="4"/>
        <v>95</v>
      </c>
      <c r="L98" s="69" t="str">
        <f t="shared" si="1"/>
        <v>Order 95</v>
      </c>
      <c r="M98" s="17">
        <v>6.0</v>
      </c>
      <c r="N98" s="106">
        <f t="shared" si="2"/>
        <v>7.5</v>
      </c>
      <c r="O98" s="107">
        <v>0.18</v>
      </c>
      <c r="P98" s="108">
        <f t="shared" si="3"/>
        <v>8.85</v>
      </c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17"/>
      <c r="B99" s="17"/>
      <c r="C99" s="17"/>
      <c r="D99" s="17"/>
      <c r="E99" s="96"/>
      <c r="F99" s="17"/>
      <c r="G99" s="17"/>
      <c r="H99" s="17"/>
      <c r="I99" s="17"/>
      <c r="J99" s="17"/>
      <c r="K99" s="22">
        <f t="shared" si="4"/>
        <v>96</v>
      </c>
      <c r="L99" s="69" t="str">
        <f t="shared" si="1"/>
        <v>Order 96</v>
      </c>
      <c r="M99" s="17">
        <v>13.0</v>
      </c>
      <c r="N99" s="106">
        <f t="shared" si="2"/>
        <v>16.25</v>
      </c>
      <c r="O99" s="107">
        <v>0.15</v>
      </c>
      <c r="P99" s="108">
        <f t="shared" si="3"/>
        <v>18.6875</v>
      </c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7"/>
      <c r="B100" s="17"/>
      <c r="C100" s="17"/>
      <c r="D100" s="17"/>
      <c r="E100" s="96"/>
      <c r="F100" s="17"/>
      <c r="G100" s="17"/>
      <c r="H100" s="17"/>
      <c r="I100" s="17"/>
      <c r="J100" s="17"/>
      <c r="K100" s="22">
        <f t="shared" si="4"/>
        <v>97</v>
      </c>
      <c r="L100" s="69" t="str">
        <f t="shared" si="1"/>
        <v>Order 97</v>
      </c>
      <c r="M100" s="17">
        <v>20.0</v>
      </c>
      <c r="N100" s="106">
        <f t="shared" si="2"/>
        <v>25</v>
      </c>
      <c r="O100" s="107">
        <v>0.15</v>
      </c>
      <c r="P100" s="108">
        <f t="shared" si="3"/>
        <v>28.75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7"/>
      <c r="B101" s="17"/>
      <c r="C101" s="17"/>
      <c r="D101" s="17"/>
      <c r="E101" s="96"/>
      <c r="F101" s="17"/>
      <c r="G101" s="17"/>
      <c r="H101" s="17"/>
      <c r="I101" s="17"/>
      <c r="J101" s="17"/>
      <c r="K101" s="22">
        <f t="shared" si="4"/>
        <v>98</v>
      </c>
      <c r="L101" s="69" t="str">
        <f t="shared" si="1"/>
        <v>Order 98</v>
      </c>
      <c r="M101" s="17">
        <v>6.0</v>
      </c>
      <c r="N101" s="106">
        <f t="shared" si="2"/>
        <v>7.5</v>
      </c>
      <c r="O101" s="107">
        <v>0.15</v>
      </c>
      <c r="P101" s="108">
        <f t="shared" si="3"/>
        <v>8.625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7"/>
      <c r="B102" s="17"/>
      <c r="C102" s="17"/>
      <c r="D102" s="17"/>
      <c r="E102" s="96"/>
      <c r="F102" s="17"/>
      <c r="G102" s="17"/>
      <c r="H102" s="17"/>
      <c r="I102" s="17"/>
      <c r="J102" s="17"/>
      <c r="K102" s="22">
        <f t="shared" si="4"/>
        <v>99</v>
      </c>
      <c r="L102" s="69" t="str">
        <f t="shared" si="1"/>
        <v>Order 99</v>
      </c>
      <c r="M102" s="17">
        <v>18.0</v>
      </c>
      <c r="N102" s="106">
        <f t="shared" si="2"/>
        <v>22.5</v>
      </c>
      <c r="O102" s="107">
        <v>0.15</v>
      </c>
      <c r="P102" s="108">
        <f t="shared" si="3"/>
        <v>25.875</v>
      </c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7"/>
      <c r="B103" s="17"/>
      <c r="C103" s="17"/>
      <c r="D103" s="17"/>
      <c r="E103" s="96"/>
      <c r="F103" s="17"/>
      <c r="G103" s="17"/>
      <c r="H103" s="17"/>
      <c r="I103" s="17"/>
      <c r="J103" s="17"/>
      <c r="K103" s="22">
        <f t="shared" si="4"/>
        <v>100</v>
      </c>
      <c r="L103" s="69" t="str">
        <f t="shared" si="1"/>
        <v>Order 100</v>
      </c>
      <c r="M103" s="17">
        <v>19.0</v>
      </c>
      <c r="N103" s="106">
        <f t="shared" si="2"/>
        <v>23.75</v>
      </c>
      <c r="O103" s="107">
        <v>0.15</v>
      </c>
      <c r="P103" s="108">
        <f t="shared" si="3"/>
        <v>27.3125</v>
      </c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7"/>
      <c r="B104" s="17"/>
      <c r="C104" s="17"/>
      <c r="D104" s="17"/>
      <c r="E104" s="96"/>
      <c r="F104" s="17"/>
      <c r="G104" s="17"/>
      <c r="H104" s="17"/>
      <c r="I104" s="17"/>
      <c r="J104" s="17"/>
      <c r="K104" s="22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7"/>
      <c r="B105" s="17"/>
      <c r="C105" s="17"/>
      <c r="D105" s="17"/>
      <c r="E105" s="96"/>
      <c r="F105" s="17"/>
      <c r="G105" s="17"/>
      <c r="H105" s="17"/>
      <c r="I105" s="17"/>
      <c r="J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7"/>
      <c r="B106" s="17"/>
      <c r="C106" s="17"/>
      <c r="D106" s="17"/>
      <c r="E106" s="96"/>
      <c r="F106" s="17"/>
      <c r="G106" s="17"/>
      <c r="H106" s="17"/>
      <c r="I106" s="17"/>
      <c r="J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7"/>
      <c r="B107" s="17"/>
      <c r="C107" s="17"/>
      <c r="D107" s="17"/>
      <c r="E107" s="96"/>
      <c r="F107" s="17"/>
      <c r="G107" s="17"/>
      <c r="H107" s="17"/>
      <c r="I107" s="17"/>
      <c r="J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7"/>
      <c r="B108" s="17"/>
      <c r="C108" s="17"/>
      <c r="D108" s="17"/>
      <c r="E108" s="96"/>
      <c r="F108" s="17"/>
      <c r="G108" s="17"/>
      <c r="H108" s="17"/>
      <c r="I108" s="17"/>
      <c r="J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7"/>
      <c r="B109" s="17"/>
      <c r="C109" s="17"/>
      <c r="D109" s="17"/>
      <c r="E109" s="96"/>
      <c r="F109" s="17"/>
      <c r="G109" s="17"/>
      <c r="H109" s="17"/>
      <c r="I109" s="17"/>
      <c r="J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7"/>
      <c r="B110" s="17"/>
      <c r="C110" s="17"/>
      <c r="D110" s="17"/>
      <c r="E110" s="96"/>
      <c r="F110" s="17"/>
      <c r="G110" s="17"/>
      <c r="H110" s="17"/>
      <c r="I110" s="17"/>
      <c r="J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17"/>
      <c r="B111" s="17"/>
      <c r="C111" s="17"/>
      <c r="D111" s="17"/>
      <c r="E111" s="96"/>
      <c r="F111" s="17"/>
      <c r="G111" s="17"/>
      <c r="H111" s="17"/>
      <c r="I111" s="17"/>
      <c r="J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17"/>
      <c r="B112" s="17"/>
      <c r="C112" s="17"/>
      <c r="D112" s="17"/>
      <c r="E112" s="9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17"/>
      <c r="B113" s="17"/>
      <c r="C113" s="17"/>
      <c r="D113" s="17"/>
      <c r="E113" s="9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7"/>
      <c r="B114" s="17"/>
      <c r="C114" s="17"/>
      <c r="D114" s="17"/>
      <c r="E114" s="9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17"/>
      <c r="B115" s="17"/>
      <c r="C115" s="17"/>
      <c r="D115" s="17"/>
      <c r="E115" s="9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17"/>
      <c r="B116" s="17"/>
      <c r="C116" s="17"/>
      <c r="D116" s="17"/>
      <c r="E116" s="9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17"/>
      <c r="B117" s="17"/>
      <c r="C117" s="17"/>
      <c r="D117" s="17"/>
      <c r="E117" s="9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17"/>
      <c r="B118" s="17"/>
      <c r="C118" s="17"/>
      <c r="D118" s="17"/>
      <c r="E118" s="9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7"/>
      <c r="B119" s="17"/>
      <c r="C119" s="17"/>
      <c r="D119" s="17"/>
      <c r="E119" s="9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17"/>
      <c r="B120" s="17"/>
      <c r="C120" s="17"/>
      <c r="D120" s="17"/>
      <c r="E120" s="9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7"/>
      <c r="B121" s="17"/>
      <c r="C121" s="17"/>
      <c r="D121" s="17"/>
      <c r="E121" s="96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17"/>
      <c r="B122" s="17"/>
      <c r="C122" s="17"/>
      <c r="D122" s="17"/>
      <c r="E122" s="96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17"/>
      <c r="B123" s="17"/>
      <c r="C123" s="17"/>
      <c r="D123" s="17"/>
      <c r="E123" s="96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7"/>
      <c r="B124" s="17"/>
      <c r="C124" s="17"/>
      <c r="D124" s="17"/>
      <c r="E124" s="9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17"/>
      <c r="B125" s="17"/>
      <c r="C125" s="17"/>
      <c r="D125" s="17"/>
      <c r="E125" s="96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7"/>
      <c r="B126" s="17"/>
      <c r="C126" s="17"/>
      <c r="D126" s="17"/>
      <c r="E126" s="9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7"/>
      <c r="B127" s="17"/>
      <c r="C127" s="17"/>
      <c r="D127" s="17"/>
      <c r="E127" s="9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7"/>
      <c r="B128" s="17"/>
      <c r="C128" s="17"/>
      <c r="D128" s="17"/>
      <c r="E128" s="9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7"/>
      <c r="B129" s="17"/>
      <c r="C129" s="17"/>
      <c r="D129" s="17"/>
      <c r="E129" s="9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7"/>
      <c r="B130" s="17"/>
      <c r="C130" s="17"/>
      <c r="D130" s="17"/>
      <c r="E130" s="9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7"/>
      <c r="B131" s="17"/>
      <c r="C131" s="17"/>
      <c r="D131" s="17"/>
      <c r="E131" s="9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7"/>
      <c r="B132" s="17"/>
      <c r="C132" s="17"/>
      <c r="D132" s="17"/>
      <c r="E132" s="9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7"/>
      <c r="B133" s="17"/>
      <c r="C133" s="17"/>
      <c r="D133" s="17"/>
      <c r="E133" s="9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7"/>
      <c r="B134" s="17"/>
      <c r="C134" s="17"/>
      <c r="D134" s="17"/>
      <c r="E134" s="9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7"/>
      <c r="B135" s="17"/>
      <c r="C135" s="17"/>
      <c r="D135" s="17"/>
      <c r="E135" s="9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17"/>
      <c r="B136" s="17"/>
      <c r="C136" s="17"/>
      <c r="D136" s="17"/>
      <c r="E136" s="96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7"/>
      <c r="B137" s="17"/>
      <c r="C137" s="17"/>
      <c r="D137" s="17"/>
      <c r="E137" s="96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7"/>
      <c r="B138" s="17"/>
      <c r="C138" s="17"/>
      <c r="D138" s="17"/>
      <c r="E138" s="96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7"/>
      <c r="B139" s="17"/>
      <c r="C139" s="17"/>
      <c r="D139" s="17"/>
      <c r="E139" s="96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7"/>
      <c r="B140" s="17"/>
      <c r="C140" s="17"/>
      <c r="D140" s="17"/>
      <c r="E140" s="96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7"/>
      <c r="B141" s="17"/>
      <c r="C141" s="17"/>
      <c r="D141" s="17"/>
      <c r="E141" s="96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7"/>
      <c r="B142" s="17"/>
      <c r="C142" s="17"/>
      <c r="D142" s="17"/>
      <c r="E142" s="96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7"/>
      <c r="B143" s="17"/>
      <c r="C143" s="17"/>
      <c r="D143" s="17"/>
      <c r="E143" s="96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7"/>
      <c r="B144" s="17"/>
      <c r="C144" s="17"/>
      <c r="D144" s="17"/>
      <c r="E144" s="96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7"/>
      <c r="B145" s="17"/>
      <c r="C145" s="17"/>
      <c r="D145" s="17"/>
      <c r="E145" s="96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17"/>
      <c r="B146" s="17"/>
      <c r="C146" s="17"/>
      <c r="D146" s="17"/>
      <c r="E146" s="96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7"/>
      <c r="B147" s="17"/>
      <c r="C147" s="17"/>
      <c r="D147" s="17"/>
      <c r="E147" s="96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17"/>
      <c r="B148" s="17"/>
      <c r="C148" s="17"/>
      <c r="D148" s="17"/>
      <c r="E148" s="96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17"/>
      <c r="B149" s="17"/>
      <c r="C149" s="17"/>
      <c r="D149" s="17"/>
      <c r="E149" s="96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17"/>
      <c r="B150" s="17"/>
      <c r="C150" s="17"/>
      <c r="D150" s="17"/>
      <c r="E150" s="96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17"/>
      <c r="B151" s="17"/>
      <c r="C151" s="17"/>
      <c r="D151" s="17"/>
      <c r="E151" s="96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17"/>
      <c r="B152" s="17"/>
      <c r="C152" s="17"/>
      <c r="D152" s="17"/>
      <c r="E152" s="96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17"/>
      <c r="B153" s="17"/>
      <c r="C153" s="17"/>
      <c r="D153" s="17"/>
      <c r="E153" s="96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7"/>
      <c r="B154" s="17"/>
      <c r="C154" s="17"/>
      <c r="D154" s="17"/>
      <c r="E154" s="96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17"/>
      <c r="B155" s="17"/>
      <c r="C155" s="17"/>
      <c r="D155" s="17"/>
      <c r="E155" s="96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17"/>
      <c r="B156" s="17"/>
      <c r="C156" s="17"/>
      <c r="D156" s="17"/>
      <c r="E156" s="96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17"/>
      <c r="B157" s="17"/>
      <c r="C157" s="17"/>
      <c r="D157" s="17"/>
      <c r="E157" s="96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17"/>
      <c r="B158" s="17"/>
      <c r="C158" s="17"/>
      <c r="D158" s="17"/>
      <c r="E158" s="96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17"/>
      <c r="B159" s="17"/>
      <c r="C159" s="17"/>
      <c r="D159" s="17"/>
      <c r="E159" s="96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17"/>
      <c r="B160" s="17"/>
      <c r="C160" s="17"/>
      <c r="D160" s="17"/>
      <c r="E160" s="96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17"/>
      <c r="B161" s="17"/>
      <c r="C161" s="17"/>
      <c r="D161" s="17"/>
      <c r="E161" s="96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17"/>
      <c r="B162" s="17"/>
      <c r="C162" s="17"/>
      <c r="D162" s="17"/>
      <c r="E162" s="96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17"/>
      <c r="B163" s="17"/>
      <c r="C163" s="17"/>
      <c r="D163" s="17"/>
      <c r="E163" s="96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7"/>
      <c r="B164" s="17"/>
      <c r="C164" s="17"/>
      <c r="D164" s="17"/>
      <c r="E164" s="96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17"/>
      <c r="B165" s="17"/>
      <c r="C165" s="17"/>
      <c r="D165" s="17"/>
      <c r="E165" s="96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17"/>
      <c r="B166" s="17"/>
      <c r="C166" s="17"/>
      <c r="D166" s="17"/>
      <c r="E166" s="96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17"/>
      <c r="B167" s="17"/>
      <c r="C167" s="17"/>
      <c r="D167" s="17"/>
      <c r="E167" s="96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17"/>
      <c r="B168" s="17"/>
      <c r="C168" s="17"/>
      <c r="D168" s="17"/>
      <c r="E168" s="96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7"/>
      <c r="B169" s="17"/>
      <c r="C169" s="17"/>
      <c r="D169" s="17"/>
      <c r="E169" s="96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7"/>
      <c r="B170" s="17"/>
      <c r="C170" s="17"/>
      <c r="D170" s="17"/>
      <c r="E170" s="96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17"/>
      <c r="B171" s="17"/>
      <c r="C171" s="17"/>
      <c r="D171" s="17"/>
      <c r="E171" s="96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17"/>
      <c r="B172" s="17"/>
      <c r="C172" s="17"/>
      <c r="D172" s="17"/>
      <c r="E172" s="96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7"/>
      <c r="B173" s="17"/>
      <c r="C173" s="17"/>
      <c r="D173" s="17"/>
      <c r="E173" s="96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7"/>
      <c r="B174" s="17"/>
      <c r="C174" s="17"/>
      <c r="D174" s="17"/>
      <c r="E174" s="96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7"/>
      <c r="B175" s="17"/>
      <c r="C175" s="17"/>
      <c r="D175" s="17"/>
      <c r="E175" s="96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7"/>
      <c r="B176" s="17"/>
      <c r="C176" s="17"/>
      <c r="D176" s="17"/>
      <c r="E176" s="96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7"/>
      <c r="B177" s="17"/>
      <c r="C177" s="17"/>
      <c r="D177" s="17"/>
      <c r="E177" s="96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7"/>
      <c r="B178" s="17"/>
      <c r="C178" s="17"/>
      <c r="D178" s="17"/>
      <c r="E178" s="96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7"/>
      <c r="B179" s="17"/>
      <c r="C179" s="17"/>
      <c r="D179" s="17"/>
      <c r="E179" s="96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7"/>
      <c r="B180" s="17"/>
      <c r="C180" s="17"/>
      <c r="D180" s="17"/>
      <c r="E180" s="96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7"/>
      <c r="B181" s="17"/>
      <c r="C181" s="17"/>
      <c r="D181" s="17"/>
      <c r="E181" s="96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17"/>
      <c r="B182" s="17"/>
      <c r="C182" s="17"/>
      <c r="D182" s="17"/>
      <c r="E182" s="96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7"/>
      <c r="B183" s="17"/>
      <c r="C183" s="17"/>
      <c r="D183" s="17"/>
      <c r="E183" s="96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7"/>
      <c r="B184" s="17"/>
      <c r="C184" s="17"/>
      <c r="D184" s="17"/>
      <c r="E184" s="96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7"/>
      <c r="B185" s="17"/>
      <c r="C185" s="17"/>
      <c r="D185" s="17"/>
      <c r="E185" s="96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7"/>
      <c r="B186" s="17"/>
      <c r="C186" s="17"/>
      <c r="D186" s="17"/>
      <c r="E186" s="96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7"/>
      <c r="B187" s="17"/>
      <c r="C187" s="17"/>
      <c r="D187" s="17"/>
      <c r="E187" s="96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7"/>
      <c r="B188" s="17"/>
      <c r="C188" s="17"/>
      <c r="D188" s="17"/>
      <c r="E188" s="96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7"/>
      <c r="B189" s="17"/>
      <c r="C189" s="17"/>
      <c r="D189" s="17"/>
      <c r="E189" s="96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7"/>
      <c r="B190" s="17"/>
      <c r="C190" s="17"/>
      <c r="D190" s="17"/>
      <c r="E190" s="96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7"/>
      <c r="B191" s="17"/>
      <c r="C191" s="17"/>
      <c r="D191" s="17"/>
      <c r="E191" s="96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7"/>
      <c r="B192" s="17"/>
      <c r="C192" s="17"/>
      <c r="D192" s="17"/>
      <c r="E192" s="96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7"/>
      <c r="B193" s="17"/>
      <c r="C193" s="17"/>
      <c r="D193" s="17"/>
      <c r="E193" s="96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7"/>
      <c r="B194" s="17"/>
      <c r="C194" s="17"/>
      <c r="D194" s="17"/>
      <c r="E194" s="96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7"/>
      <c r="B195" s="17"/>
      <c r="C195" s="17"/>
      <c r="D195" s="17"/>
      <c r="E195" s="96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7"/>
      <c r="B196" s="17"/>
      <c r="C196" s="17"/>
      <c r="D196" s="17"/>
      <c r="E196" s="96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7"/>
      <c r="B197" s="17"/>
      <c r="C197" s="17"/>
      <c r="D197" s="17"/>
      <c r="E197" s="96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7"/>
      <c r="B198" s="17"/>
      <c r="C198" s="17"/>
      <c r="D198" s="17"/>
      <c r="E198" s="9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7"/>
      <c r="B199" s="17"/>
      <c r="C199" s="17"/>
      <c r="D199" s="17"/>
      <c r="E199" s="96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7"/>
      <c r="B200" s="17"/>
      <c r="C200" s="17"/>
      <c r="D200" s="17"/>
      <c r="E200" s="96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7"/>
      <c r="B201" s="17"/>
      <c r="C201" s="17"/>
      <c r="D201" s="17"/>
      <c r="E201" s="96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7"/>
      <c r="B202" s="17"/>
      <c r="C202" s="17"/>
      <c r="D202" s="17"/>
      <c r="E202" s="96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7"/>
      <c r="B203" s="17"/>
      <c r="C203" s="17"/>
      <c r="D203" s="17"/>
      <c r="E203" s="96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7"/>
      <c r="B204" s="17"/>
      <c r="C204" s="17"/>
      <c r="D204" s="17"/>
      <c r="E204" s="96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7"/>
      <c r="B205" s="17"/>
      <c r="C205" s="17"/>
      <c r="D205" s="17"/>
      <c r="E205" s="96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7"/>
      <c r="B206" s="17"/>
      <c r="C206" s="17"/>
      <c r="D206" s="17"/>
      <c r="E206" s="96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7"/>
      <c r="B207" s="17"/>
      <c r="C207" s="17"/>
      <c r="D207" s="17"/>
      <c r="E207" s="96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7"/>
      <c r="B208" s="17"/>
      <c r="C208" s="17"/>
      <c r="D208" s="17"/>
      <c r="E208" s="9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7"/>
      <c r="B209" s="17"/>
      <c r="C209" s="17"/>
      <c r="D209" s="17"/>
      <c r="E209" s="96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7"/>
      <c r="B210" s="17"/>
      <c r="C210" s="17"/>
      <c r="D210" s="17"/>
      <c r="E210" s="9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7"/>
      <c r="B211" s="17"/>
      <c r="C211" s="17"/>
      <c r="D211" s="17"/>
      <c r="E211" s="9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7"/>
      <c r="B212" s="17"/>
      <c r="C212" s="17"/>
      <c r="D212" s="17"/>
      <c r="E212" s="96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7"/>
      <c r="B213" s="17"/>
      <c r="C213" s="17"/>
      <c r="D213" s="17"/>
      <c r="E213" s="96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7"/>
      <c r="B214" s="17"/>
      <c r="C214" s="17"/>
      <c r="D214" s="17"/>
      <c r="E214" s="96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7"/>
      <c r="B215" s="17"/>
      <c r="C215" s="17"/>
      <c r="D215" s="17"/>
      <c r="E215" s="9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7"/>
      <c r="B216" s="17"/>
      <c r="C216" s="17"/>
      <c r="D216" s="17"/>
      <c r="E216" s="9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7"/>
      <c r="B217" s="17"/>
      <c r="C217" s="17"/>
      <c r="D217" s="17"/>
      <c r="E217" s="96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7"/>
      <c r="B218" s="17"/>
      <c r="C218" s="17"/>
      <c r="D218" s="17"/>
      <c r="E218" s="96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7"/>
      <c r="B219" s="17"/>
      <c r="C219" s="17"/>
      <c r="D219" s="17"/>
      <c r="E219" s="96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7"/>
      <c r="B220" s="17"/>
      <c r="C220" s="17"/>
      <c r="D220" s="17"/>
      <c r="E220" s="96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7"/>
      <c r="B221" s="17"/>
      <c r="C221" s="17"/>
      <c r="D221" s="17"/>
      <c r="E221" s="96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7"/>
      <c r="B222" s="17"/>
      <c r="C222" s="17"/>
      <c r="D222" s="17"/>
      <c r="E222" s="96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7"/>
      <c r="B223" s="17"/>
      <c r="C223" s="17"/>
      <c r="D223" s="17"/>
      <c r="E223" s="9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7"/>
      <c r="B224" s="17"/>
      <c r="C224" s="17"/>
      <c r="D224" s="17"/>
      <c r="E224" s="96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7"/>
      <c r="B225" s="17"/>
      <c r="C225" s="17"/>
      <c r="D225" s="17"/>
      <c r="E225" s="9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7"/>
      <c r="B226" s="17"/>
      <c r="C226" s="17"/>
      <c r="D226" s="17"/>
      <c r="E226" s="9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7"/>
      <c r="B227" s="17"/>
      <c r="C227" s="17"/>
      <c r="D227" s="17"/>
      <c r="E227" s="96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7"/>
      <c r="B228" s="17"/>
      <c r="C228" s="17"/>
      <c r="D228" s="17"/>
      <c r="E228" s="96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7"/>
      <c r="B229" s="17"/>
      <c r="C229" s="17"/>
      <c r="D229" s="17"/>
      <c r="E229" s="96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7"/>
      <c r="B230" s="17"/>
      <c r="C230" s="17"/>
      <c r="D230" s="17"/>
      <c r="E230" s="96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7"/>
      <c r="B231" s="17"/>
      <c r="C231" s="17"/>
      <c r="D231" s="17"/>
      <c r="E231" s="96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7"/>
      <c r="B232" s="17"/>
      <c r="C232" s="17"/>
      <c r="D232" s="17"/>
      <c r="E232" s="96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7"/>
      <c r="B233" s="17"/>
      <c r="C233" s="17"/>
      <c r="D233" s="17"/>
      <c r="E233" s="96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7"/>
      <c r="B234" s="17"/>
      <c r="C234" s="17"/>
      <c r="D234" s="17"/>
      <c r="E234" s="96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7"/>
      <c r="B235" s="17"/>
      <c r="C235" s="17"/>
      <c r="D235" s="17"/>
      <c r="E235" s="96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7"/>
      <c r="B236" s="17"/>
      <c r="C236" s="17"/>
      <c r="D236" s="17"/>
      <c r="E236" s="96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7"/>
      <c r="B237" s="17"/>
      <c r="C237" s="17"/>
      <c r="D237" s="17"/>
      <c r="E237" s="96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7"/>
      <c r="B238" s="17"/>
      <c r="C238" s="17"/>
      <c r="D238" s="17"/>
      <c r="E238" s="96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7"/>
      <c r="B239" s="17"/>
      <c r="C239" s="17"/>
      <c r="D239" s="17"/>
      <c r="E239" s="96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7"/>
      <c r="B240" s="17"/>
      <c r="C240" s="17"/>
      <c r="D240" s="17"/>
      <c r="E240" s="96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7"/>
      <c r="B241" s="17"/>
      <c r="C241" s="17"/>
      <c r="D241" s="17"/>
      <c r="E241" s="96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7"/>
      <c r="B242" s="17"/>
      <c r="C242" s="17"/>
      <c r="D242" s="17"/>
      <c r="E242" s="96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7"/>
      <c r="B243" s="17"/>
      <c r="C243" s="17"/>
      <c r="D243" s="17"/>
      <c r="E243" s="96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7"/>
      <c r="B244" s="17"/>
      <c r="C244" s="17"/>
      <c r="D244" s="17"/>
      <c r="E244" s="96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7"/>
      <c r="B245" s="17"/>
      <c r="C245" s="17"/>
      <c r="D245" s="17"/>
      <c r="E245" s="96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7"/>
      <c r="B246" s="17"/>
      <c r="C246" s="17"/>
      <c r="D246" s="17"/>
      <c r="E246" s="96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7"/>
      <c r="B247" s="17"/>
      <c r="C247" s="17"/>
      <c r="D247" s="17"/>
      <c r="E247" s="96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7"/>
      <c r="B248" s="17"/>
      <c r="C248" s="17"/>
      <c r="D248" s="17"/>
      <c r="E248" s="96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7"/>
      <c r="B249" s="17"/>
      <c r="C249" s="17"/>
      <c r="D249" s="17"/>
      <c r="E249" s="96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7"/>
      <c r="B250" s="17"/>
      <c r="C250" s="17"/>
      <c r="D250" s="17"/>
      <c r="E250" s="96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7"/>
      <c r="B251" s="17"/>
      <c r="C251" s="17"/>
      <c r="D251" s="17"/>
      <c r="E251" s="96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7"/>
      <c r="B252" s="17"/>
      <c r="C252" s="17"/>
      <c r="D252" s="17"/>
      <c r="E252" s="96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7"/>
      <c r="B253" s="17"/>
      <c r="C253" s="17"/>
      <c r="D253" s="17"/>
      <c r="E253" s="96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7"/>
      <c r="B254" s="17"/>
      <c r="C254" s="17"/>
      <c r="D254" s="17"/>
      <c r="E254" s="96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7"/>
      <c r="B255" s="17"/>
      <c r="C255" s="17"/>
      <c r="D255" s="17"/>
      <c r="E255" s="96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7"/>
      <c r="B256" s="17"/>
      <c r="C256" s="17"/>
      <c r="D256" s="17"/>
      <c r="E256" s="96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7"/>
      <c r="B257" s="17"/>
      <c r="C257" s="17"/>
      <c r="D257" s="17"/>
      <c r="E257" s="96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7"/>
      <c r="B258" s="17"/>
      <c r="C258" s="17"/>
      <c r="D258" s="17"/>
      <c r="E258" s="96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7"/>
      <c r="B259" s="17"/>
      <c r="C259" s="17"/>
      <c r="D259" s="17"/>
      <c r="E259" s="96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7"/>
      <c r="B260" s="17"/>
      <c r="C260" s="17"/>
      <c r="D260" s="17"/>
      <c r="E260" s="96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7"/>
      <c r="B261" s="17"/>
      <c r="C261" s="17"/>
      <c r="D261" s="17"/>
      <c r="E261" s="96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7"/>
      <c r="B262" s="17"/>
      <c r="C262" s="17"/>
      <c r="D262" s="17"/>
      <c r="E262" s="96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7"/>
      <c r="B263" s="17"/>
      <c r="C263" s="17"/>
      <c r="D263" s="17"/>
      <c r="E263" s="96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7"/>
      <c r="B264" s="17"/>
      <c r="C264" s="17"/>
      <c r="D264" s="17"/>
      <c r="E264" s="96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7"/>
      <c r="B265" s="17"/>
      <c r="C265" s="17"/>
      <c r="D265" s="17"/>
      <c r="E265" s="96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7"/>
      <c r="B266" s="17"/>
      <c r="C266" s="17"/>
      <c r="D266" s="17"/>
      <c r="E266" s="96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7"/>
      <c r="B267" s="17"/>
      <c r="C267" s="17"/>
      <c r="D267" s="17"/>
      <c r="E267" s="96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7"/>
      <c r="B268" s="17"/>
      <c r="C268" s="17"/>
      <c r="D268" s="17"/>
      <c r="E268" s="96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7"/>
      <c r="B269" s="17"/>
      <c r="C269" s="17"/>
      <c r="D269" s="17"/>
      <c r="E269" s="96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7"/>
      <c r="B270" s="17"/>
      <c r="C270" s="17"/>
      <c r="D270" s="17"/>
      <c r="E270" s="96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7"/>
      <c r="B271" s="17"/>
      <c r="C271" s="17"/>
      <c r="D271" s="17"/>
      <c r="E271" s="96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7"/>
      <c r="B272" s="17"/>
      <c r="C272" s="17"/>
      <c r="D272" s="17"/>
      <c r="E272" s="96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7"/>
      <c r="B273" s="17"/>
      <c r="C273" s="17"/>
      <c r="D273" s="17"/>
      <c r="E273" s="96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7"/>
      <c r="B274" s="17"/>
      <c r="C274" s="17"/>
      <c r="D274" s="17"/>
      <c r="E274" s="96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7"/>
      <c r="B275" s="17"/>
      <c r="C275" s="17"/>
      <c r="D275" s="17"/>
      <c r="E275" s="96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7"/>
      <c r="B276" s="17"/>
      <c r="C276" s="17"/>
      <c r="D276" s="17"/>
      <c r="E276" s="96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7"/>
      <c r="B277" s="17"/>
      <c r="C277" s="17"/>
      <c r="D277" s="17"/>
      <c r="E277" s="96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7"/>
      <c r="B278" s="17"/>
      <c r="C278" s="17"/>
      <c r="D278" s="17"/>
      <c r="E278" s="96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7"/>
      <c r="B279" s="17"/>
      <c r="C279" s="17"/>
      <c r="D279" s="17"/>
      <c r="E279" s="96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7"/>
      <c r="B280" s="17"/>
      <c r="C280" s="17"/>
      <c r="D280" s="17"/>
      <c r="E280" s="96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7"/>
      <c r="B281" s="17"/>
      <c r="C281" s="17"/>
      <c r="D281" s="17"/>
      <c r="E281" s="96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7"/>
      <c r="B282" s="17"/>
      <c r="C282" s="17"/>
      <c r="D282" s="17"/>
      <c r="E282" s="96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7"/>
      <c r="B283" s="17"/>
      <c r="C283" s="17"/>
      <c r="D283" s="17"/>
      <c r="E283" s="96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7"/>
      <c r="B284" s="17"/>
      <c r="C284" s="17"/>
      <c r="D284" s="17"/>
      <c r="E284" s="96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7"/>
      <c r="B285" s="17"/>
      <c r="C285" s="17"/>
      <c r="D285" s="17"/>
      <c r="E285" s="96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7"/>
      <c r="B286" s="17"/>
      <c r="C286" s="17"/>
      <c r="D286" s="17"/>
      <c r="E286" s="96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7"/>
      <c r="B287" s="17"/>
      <c r="C287" s="17"/>
      <c r="D287" s="17"/>
      <c r="E287" s="96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7"/>
      <c r="B288" s="17"/>
      <c r="C288" s="17"/>
      <c r="D288" s="17"/>
      <c r="E288" s="96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7"/>
      <c r="B289" s="17"/>
      <c r="C289" s="17"/>
      <c r="D289" s="17"/>
      <c r="E289" s="96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7"/>
      <c r="B290" s="17"/>
      <c r="C290" s="17"/>
      <c r="D290" s="17"/>
      <c r="E290" s="96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7"/>
      <c r="B291" s="17"/>
      <c r="C291" s="17"/>
      <c r="D291" s="17"/>
      <c r="E291" s="96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7"/>
      <c r="B292" s="17"/>
      <c r="C292" s="17"/>
      <c r="D292" s="17"/>
      <c r="E292" s="96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7"/>
      <c r="B293" s="17"/>
      <c r="C293" s="17"/>
      <c r="D293" s="17"/>
      <c r="E293" s="96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7"/>
      <c r="B294" s="17"/>
      <c r="C294" s="17"/>
      <c r="D294" s="17"/>
      <c r="E294" s="96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7"/>
      <c r="B295" s="17"/>
      <c r="C295" s="17"/>
      <c r="D295" s="17"/>
      <c r="E295" s="96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7"/>
      <c r="B296" s="17"/>
      <c r="C296" s="17"/>
      <c r="D296" s="17"/>
      <c r="E296" s="96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7"/>
      <c r="B297" s="17"/>
      <c r="C297" s="17"/>
      <c r="D297" s="17"/>
      <c r="E297" s="96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7"/>
      <c r="B298" s="17"/>
      <c r="C298" s="17"/>
      <c r="D298" s="17"/>
      <c r="E298" s="96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7"/>
      <c r="B299" s="17"/>
      <c r="C299" s="17"/>
      <c r="D299" s="17"/>
      <c r="E299" s="96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7"/>
      <c r="B300" s="17"/>
      <c r="C300" s="17"/>
      <c r="D300" s="17"/>
      <c r="E300" s="96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7"/>
      <c r="B301" s="17"/>
      <c r="C301" s="17"/>
      <c r="D301" s="17"/>
      <c r="E301" s="96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7"/>
      <c r="B302" s="17"/>
      <c r="C302" s="17"/>
      <c r="D302" s="17"/>
      <c r="E302" s="96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7"/>
      <c r="B303" s="17"/>
      <c r="C303" s="17"/>
      <c r="D303" s="17"/>
      <c r="E303" s="96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7"/>
      <c r="B304" s="17"/>
      <c r="C304" s="17"/>
      <c r="D304" s="17"/>
      <c r="E304" s="96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7"/>
      <c r="B305" s="17"/>
      <c r="C305" s="17"/>
      <c r="D305" s="17"/>
      <c r="E305" s="96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7"/>
      <c r="B306" s="17"/>
      <c r="C306" s="17"/>
      <c r="D306" s="17"/>
      <c r="E306" s="96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7"/>
      <c r="B307" s="17"/>
      <c r="C307" s="17"/>
      <c r="D307" s="17"/>
      <c r="E307" s="96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7"/>
      <c r="B308" s="17"/>
      <c r="C308" s="17"/>
      <c r="D308" s="17"/>
      <c r="E308" s="96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7"/>
      <c r="B309" s="17"/>
      <c r="C309" s="17"/>
      <c r="D309" s="17"/>
      <c r="E309" s="96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7"/>
      <c r="B310" s="17"/>
      <c r="C310" s="17"/>
      <c r="D310" s="17"/>
      <c r="E310" s="96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7"/>
      <c r="B311" s="17"/>
      <c r="C311" s="17"/>
      <c r="D311" s="17"/>
      <c r="E311" s="96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7"/>
      <c r="B312" s="17"/>
      <c r="C312" s="17"/>
      <c r="D312" s="17"/>
      <c r="E312" s="96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7"/>
      <c r="B313" s="17"/>
      <c r="C313" s="17"/>
      <c r="D313" s="17"/>
      <c r="E313" s="96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7"/>
      <c r="B314" s="17"/>
      <c r="C314" s="17"/>
      <c r="D314" s="17"/>
      <c r="E314" s="96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7"/>
      <c r="B315" s="17"/>
      <c r="C315" s="17"/>
      <c r="D315" s="17"/>
      <c r="E315" s="96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7"/>
      <c r="B316" s="17"/>
      <c r="C316" s="17"/>
      <c r="D316" s="17"/>
      <c r="E316" s="96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7"/>
      <c r="B317" s="17"/>
      <c r="C317" s="17"/>
      <c r="D317" s="17"/>
      <c r="E317" s="96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7"/>
      <c r="B318" s="17"/>
      <c r="C318" s="17"/>
      <c r="D318" s="17"/>
      <c r="E318" s="96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7"/>
      <c r="B319" s="17"/>
      <c r="C319" s="17"/>
      <c r="D319" s="17"/>
      <c r="E319" s="96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7"/>
      <c r="B320" s="17"/>
      <c r="C320" s="17"/>
      <c r="D320" s="17"/>
      <c r="E320" s="96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7"/>
      <c r="B321" s="17"/>
      <c r="C321" s="17"/>
      <c r="D321" s="17"/>
      <c r="E321" s="96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7"/>
      <c r="B322" s="17"/>
      <c r="C322" s="17"/>
      <c r="D322" s="17"/>
      <c r="E322" s="96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7"/>
      <c r="B323" s="17"/>
      <c r="C323" s="17"/>
      <c r="D323" s="17"/>
      <c r="E323" s="96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7"/>
      <c r="B324" s="17"/>
      <c r="C324" s="17"/>
      <c r="D324" s="17"/>
      <c r="E324" s="96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7"/>
      <c r="B325" s="17"/>
      <c r="C325" s="17"/>
      <c r="D325" s="17"/>
      <c r="E325" s="96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7"/>
      <c r="B326" s="17"/>
      <c r="C326" s="17"/>
      <c r="D326" s="17"/>
      <c r="E326" s="96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7"/>
      <c r="B327" s="17"/>
      <c r="C327" s="17"/>
      <c r="D327" s="17"/>
      <c r="E327" s="96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7"/>
      <c r="B328" s="17"/>
      <c r="C328" s="17"/>
      <c r="D328" s="17"/>
      <c r="E328" s="96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7"/>
      <c r="B329" s="17"/>
      <c r="C329" s="17"/>
      <c r="D329" s="17"/>
      <c r="E329" s="96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7"/>
      <c r="B330" s="17"/>
      <c r="C330" s="17"/>
      <c r="D330" s="17"/>
      <c r="E330" s="96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7"/>
      <c r="B331" s="17"/>
      <c r="C331" s="17"/>
      <c r="D331" s="17"/>
      <c r="E331" s="96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7"/>
      <c r="B332" s="17"/>
      <c r="C332" s="17"/>
      <c r="D332" s="17"/>
      <c r="E332" s="96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7"/>
      <c r="B333" s="17"/>
      <c r="C333" s="17"/>
      <c r="D333" s="17"/>
      <c r="E333" s="96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7"/>
      <c r="B334" s="17"/>
      <c r="C334" s="17"/>
      <c r="D334" s="17"/>
      <c r="E334" s="96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7"/>
      <c r="B335" s="17"/>
      <c r="C335" s="17"/>
      <c r="D335" s="17"/>
      <c r="E335" s="96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7"/>
      <c r="B336" s="17"/>
      <c r="C336" s="17"/>
      <c r="D336" s="17"/>
      <c r="E336" s="96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7"/>
      <c r="B337" s="17"/>
      <c r="C337" s="17"/>
      <c r="D337" s="17"/>
      <c r="E337" s="96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7"/>
      <c r="B338" s="17"/>
      <c r="C338" s="17"/>
      <c r="D338" s="17"/>
      <c r="E338" s="96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7"/>
      <c r="B339" s="17"/>
      <c r="C339" s="17"/>
      <c r="D339" s="17"/>
      <c r="E339" s="96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7"/>
      <c r="B340" s="17"/>
      <c r="C340" s="17"/>
      <c r="D340" s="17"/>
      <c r="E340" s="96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7"/>
      <c r="B341" s="17"/>
      <c r="C341" s="17"/>
      <c r="D341" s="17"/>
      <c r="E341" s="96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7"/>
      <c r="B342" s="17"/>
      <c r="C342" s="17"/>
      <c r="D342" s="17"/>
      <c r="E342" s="96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7"/>
      <c r="B343" s="17"/>
      <c r="C343" s="17"/>
      <c r="D343" s="17"/>
      <c r="E343" s="96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7"/>
      <c r="B344" s="17"/>
      <c r="C344" s="17"/>
      <c r="D344" s="17"/>
      <c r="E344" s="96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7"/>
      <c r="B345" s="17"/>
      <c r="C345" s="17"/>
      <c r="D345" s="17"/>
      <c r="E345" s="96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7"/>
      <c r="B346" s="17"/>
      <c r="C346" s="17"/>
      <c r="D346" s="17"/>
      <c r="E346" s="96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7"/>
      <c r="B347" s="17"/>
      <c r="C347" s="17"/>
      <c r="D347" s="17"/>
      <c r="E347" s="96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7"/>
      <c r="B348" s="17"/>
      <c r="C348" s="17"/>
      <c r="D348" s="17"/>
      <c r="E348" s="96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7"/>
      <c r="B349" s="17"/>
      <c r="C349" s="17"/>
      <c r="D349" s="17"/>
      <c r="E349" s="96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7"/>
      <c r="B350" s="17"/>
      <c r="C350" s="17"/>
      <c r="D350" s="17"/>
      <c r="E350" s="96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7"/>
      <c r="B351" s="17"/>
      <c r="C351" s="17"/>
      <c r="D351" s="17"/>
      <c r="E351" s="96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7"/>
      <c r="B352" s="17"/>
      <c r="C352" s="17"/>
      <c r="D352" s="17"/>
      <c r="E352" s="96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7"/>
      <c r="B353" s="17"/>
      <c r="C353" s="17"/>
      <c r="D353" s="17"/>
      <c r="E353" s="96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7"/>
      <c r="B354" s="17"/>
      <c r="C354" s="17"/>
      <c r="D354" s="17"/>
      <c r="E354" s="96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7"/>
      <c r="B355" s="17"/>
      <c r="C355" s="17"/>
      <c r="D355" s="17"/>
      <c r="E355" s="96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7"/>
      <c r="B356" s="17"/>
      <c r="C356" s="17"/>
      <c r="D356" s="17"/>
      <c r="E356" s="96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7"/>
      <c r="B357" s="17"/>
      <c r="C357" s="17"/>
      <c r="D357" s="17"/>
      <c r="E357" s="96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7"/>
      <c r="B358" s="17"/>
      <c r="C358" s="17"/>
      <c r="D358" s="17"/>
      <c r="E358" s="96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7"/>
      <c r="B359" s="17"/>
      <c r="C359" s="17"/>
      <c r="D359" s="17"/>
      <c r="E359" s="96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7"/>
      <c r="B360" s="17"/>
      <c r="C360" s="17"/>
      <c r="D360" s="17"/>
      <c r="E360" s="96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7"/>
      <c r="B361" s="17"/>
      <c r="C361" s="17"/>
      <c r="D361" s="17"/>
      <c r="E361" s="96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7"/>
      <c r="B362" s="17"/>
      <c r="C362" s="17"/>
      <c r="D362" s="17"/>
      <c r="E362" s="96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7"/>
      <c r="B363" s="17"/>
      <c r="C363" s="17"/>
      <c r="D363" s="17"/>
      <c r="E363" s="96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7"/>
      <c r="B364" s="17"/>
      <c r="C364" s="17"/>
      <c r="D364" s="17"/>
      <c r="E364" s="96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7"/>
      <c r="B365" s="17"/>
      <c r="C365" s="17"/>
      <c r="D365" s="17"/>
      <c r="E365" s="96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7"/>
      <c r="B366" s="17"/>
      <c r="C366" s="17"/>
      <c r="D366" s="17"/>
      <c r="E366" s="96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7"/>
      <c r="B367" s="17"/>
      <c r="C367" s="17"/>
      <c r="D367" s="17"/>
      <c r="E367" s="96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7"/>
      <c r="B368" s="17"/>
      <c r="C368" s="17"/>
      <c r="D368" s="17"/>
      <c r="E368" s="96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7"/>
      <c r="B369" s="17"/>
      <c r="C369" s="17"/>
      <c r="D369" s="17"/>
      <c r="E369" s="96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7"/>
      <c r="B370" s="17"/>
      <c r="C370" s="17"/>
      <c r="D370" s="17"/>
      <c r="E370" s="96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7"/>
      <c r="B371" s="17"/>
      <c r="C371" s="17"/>
      <c r="D371" s="17"/>
      <c r="E371" s="96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7"/>
      <c r="B372" s="17"/>
      <c r="C372" s="17"/>
      <c r="D372" s="17"/>
      <c r="E372" s="96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7"/>
      <c r="B373" s="17"/>
      <c r="C373" s="17"/>
      <c r="D373" s="17"/>
      <c r="E373" s="96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7"/>
      <c r="B374" s="17"/>
      <c r="C374" s="17"/>
      <c r="D374" s="17"/>
      <c r="E374" s="96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7"/>
      <c r="B375" s="17"/>
      <c r="C375" s="17"/>
      <c r="D375" s="17"/>
      <c r="E375" s="96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7"/>
      <c r="B376" s="17"/>
      <c r="C376" s="17"/>
      <c r="D376" s="17"/>
      <c r="E376" s="96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7"/>
      <c r="B377" s="17"/>
      <c r="C377" s="17"/>
      <c r="D377" s="17"/>
      <c r="E377" s="96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7"/>
      <c r="B378" s="17"/>
      <c r="C378" s="17"/>
      <c r="D378" s="17"/>
      <c r="E378" s="96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7"/>
      <c r="B379" s="17"/>
      <c r="C379" s="17"/>
      <c r="D379" s="17"/>
      <c r="E379" s="96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7"/>
      <c r="B380" s="17"/>
      <c r="C380" s="17"/>
      <c r="D380" s="17"/>
      <c r="E380" s="96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7"/>
      <c r="B381" s="17"/>
      <c r="C381" s="17"/>
      <c r="D381" s="17"/>
      <c r="E381" s="96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7"/>
      <c r="B382" s="17"/>
      <c r="C382" s="17"/>
      <c r="D382" s="17"/>
      <c r="E382" s="96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7"/>
      <c r="B383" s="17"/>
      <c r="C383" s="17"/>
      <c r="D383" s="17"/>
      <c r="E383" s="96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7"/>
      <c r="B384" s="17"/>
      <c r="C384" s="17"/>
      <c r="D384" s="17"/>
      <c r="E384" s="96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7"/>
      <c r="B385" s="17"/>
      <c r="C385" s="17"/>
      <c r="D385" s="17"/>
      <c r="E385" s="96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7"/>
      <c r="B386" s="17"/>
      <c r="C386" s="17"/>
      <c r="D386" s="17"/>
      <c r="E386" s="96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7"/>
      <c r="B387" s="17"/>
      <c r="C387" s="17"/>
      <c r="D387" s="17"/>
      <c r="E387" s="96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7"/>
      <c r="B388" s="17"/>
      <c r="C388" s="17"/>
      <c r="D388" s="17"/>
      <c r="E388" s="96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7"/>
      <c r="B389" s="17"/>
      <c r="C389" s="17"/>
      <c r="D389" s="17"/>
      <c r="E389" s="96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7"/>
      <c r="B390" s="17"/>
      <c r="C390" s="17"/>
      <c r="D390" s="17"/>
      <c r="E390" s="96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7"/>
      <c r="B391" s="17"/>
      <c r="C391" s="17"/>
      <c r="D391" s="17"/>
      <c r="E391" s="96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7"/>
      <c r="B392" s="17"/>
      <c r="C392" s="17"/>
      <c r="D392" s="17"/>
      <c r="E392" s="96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7"/>
      <c r="B393" s="17"/>
      <c r="C393" s="17"/>
      <c r="D393" s="17"/>
      <c r="E393" s="96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7"/>
      <c r="B394" s="17"/>
      <c r="C394" s="17"/>
      <c r="D394" s="17"/>
      <c r="E394" s="96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7"/>
      <c r="B395" s="17"/>
      <c r="C395" s="17"/>
      <c r="D395" s="17"/>
      <c r="E395" s="96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7"/>
      <c r="B396" s="17"/>
      <c r="C396" s="17"/>
      <c r="D396" s="17"/>
      <c r="E396" s="96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7"/>
      <c r="B397" s="17"/>
      <c r="C397" s="17"/>
      <c r="D397" s="17"/>
      <c r="E397" s="96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7"/>
      <c r="B398" s="17"/>
      <c r="C398" s="17"/>
      <c r="D398" s="17"/>
      <c r="E398" s="96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7"/>
      <c r="B399" s="17"/>
      <c r="C399" s="17"/>
      <c r="D399" s="17"/>
      <c r="E399" s="96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7"/>
      <c r="B400" s="17"/>
      <c r="C400" s="17"/>
      <c r="D400" s="17"/>
      <c r="E400" s="96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7"/>
      <c r="B401" s="17"/>
      <c r="C401" s="17"/>
      <c r="D401" s="17"/>
      <c r="E401" s="96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7"/>
      <c r="B402" s="17"/>
      <c r="C402" s="17"/>
      <c r="D402" s="17"/>
      <c r="E402" s="96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7"/>
      <c r="B403" s="17"/>
      <c r="C403" s="17"/>
      <c r="D403" s="17"/>
      <c r="E403" s="96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7"/>
      <c r="B404" s="17"/>
      <c r="C404" s="17"/>
      <c r="D404" s="17"/>
      <c r="E404" s="96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7"/>
      <c r="B405" s="17"/>
      <c r="C405" s="17"/>
      <c r="D405" s="17"/>
      <c r="E405" s="96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7"/>
      <c r="B406" s="17"/>
      <c r="C406" s="17"/>
      <c r="D406" s="17"/>
      <c r="E406" s="96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7"/>
      <c r="B407" s="17"/>
      <c r="C407" s="17"/>
      <c r="D407" s="17"/>
      <c r="E407" s="96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7"/>
      <c r="B408" s="17"/>
      <c r="C408" s="17"/>
      <c r="D408" s="17"/>
      <c r="E408" s="96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7"/>
      <c r="B409" s="17"/>
      <c r="C409" s="17"/>
      <c r="D409" s="17"/>
      <c r="E409" s="96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7"/>
      <c r="B410" s="17"/>
      <c r="C410" s="17"/>
      <c r="D410" s="17"/>
      <c r="E410" s="96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7"/>
      <c r="B411" s="17"/>
      <c r="C411" s="17"/>
      <c r="D411" s="17"/>
      <c r="E411" s="96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7"/>
      <c r="B412" s="17"/>
      <c r="C412" s="17"/>
      <c r="D412" s="17"/>
      <c r="E412" s="96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7"/>
      <c r="B413" s="17"/>
      <c r="C413" s="17"/>
      <c r="D413" s="17"/>
      <c r="E413" s="96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7"/>
      <c r="B414" s="17"/>
      <c r="C414" s="17"/>
      <c r="D414" s="17"/>
      <c r="E414" s="96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7"/>
      <c r="B415" s="17"/>
      <c r="C415" s="17"/>
      <c r="D415" s="17"/>
      <c r="E415" s="96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7"/>
      <c r="B416" s="17"/>
      <c r="C416" s="17"/>
      <c r="D416" s="17"/>
      <c r="E416" s="96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7"/>
      <c r="B417" s="17"/>
      <c r="C417" s="17"/>
      <c r="D417" s="17"/>
      <c r="E417" s="96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7"/>
      <c r="B418" s="17"/>
      <c r="C418" s="17"/>
      <c r="D418" s="17"/>
      <c r="E418" s="96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7"/>
      <c r="B419" s="17"/>
      <c r="C419" s="17"/>
      <c r="D419" s="17"/>
      <c r="E419" s="96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7"/>
      <c r="B420" s="17"/>
      <c r="C420" s="17"/>
      <c r="D420" s="17"/>
      <c r="E420" s="96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7"/>
      <c r="B421" s="17"/>
      <c r="C421" s="17"/>
      <c r="D421" s="17"/>
      <c r="E421" s="96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7"/>
      <c r="B422" s="17"/>
      <c r="C422" s="17"/>
      <c r="D422" s="17"/>
      <c r="E422" s="96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7"/>
      <c r="B423" s="17"/>
      <c r="C423" s="17"/>
      <c r="D423" s="17"/>
      <c r="E423" s="96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7"/>
      <c r="B424" s="17"/>
      <c r="C424" s="17"/>
      <c r="D424" s="17"/>
      <c r="E424" s="96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7"/>
      <c r="B425" s="17"/>
      <c r="C425" s="17"/>
      <c r="D425" s="17"/>
      <c r="E425" s="96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7"/>
      <c r="B426" s="17"/>
      <c r="C426" s="17"/>
      <c r="D426" s="17"/>
      <c r="E426" s="96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7"/>
      <c r="B427" s="17"/>
      <c r="C427" s="17"/>
      <c r="D427" s="17"/>
      <c r="E427" s="96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7"/>
      <c r="B428" s="17"/>
      <c r="C428" s="17"/>
      <c r="D428" s="17"/>
      <c r="E428" s="96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7"/>
      <c r="B429" s="17"/>
      <c r="C429" s="17"/>
      <c r="D429" s="17"/>
      <c r="E429" s="96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7"/>
      <c r="B430" s="17"/>
      <c r="C430" s="17"/>
      <c r="D430" s="17"/>
      <c r="E430" s="96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7"/>
      <c r="B431" s="17"/>
      <c r="C431" s="17"/>
      <c r="D431" s="17"/>
      <c r="E431" s="96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7"/>
      <c r="B432" s="17"/>
      <c r="C432" s="17"/>
      <c r="D432" s="17"/>
      <c r="E432" s="96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7"/>
      <c r="B433" s="17"/>
      <c r="C433" s="17"/>
      <c r="D433" s="17"/>
      <c r="E433" s="96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7"/>
      <c r="B434" s="17"/>
      <c r="C434" s="17"/>
      <c r="D434" s="17"/>
      <c r="E434" s="96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7"/>
      <c r="B435" s="17"/>
      <c r="C435" s="17"/>
      <c r="D435" s="17"/>
      <c r="E435" s="96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7"/>
      <c r="B436" s="17"/>
      <c r="C436" s="17"/>
      <c r="D436" s="17"/>
      <c r="E436" s="96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7"/>
      <c r="B437" s="17"/>
      <c r="C437" s="17"/>
      <c r="D437" s="17"/>
      <c r="E437" s="96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7"/>
      <c r="B438" s="17"/>
      <c r="C438" s="17"/>
      <c r="D438" s="17"/>
      <c r="E438" s="96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7"/>
      <c r="B439" s="17"/>
      <c r="C439" s="17"/>
      <c r="D439" s="17"/>
      <c r="E439" s="96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7"/>
      <c r="B440" s="17"/>
      <c r="C440" s="17"/>
      <c r="D440" s="17"/>
      <c r="E440" s="96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7"/>
      <c r="B441" s="17"/>
      <c r="C441" s="17"/>
      <c r="D441" s="17"/>
      <c r="E441" s="96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7"/>
      <c r="B442" s="17"/>
      <c r="C442" s="17"/>
      <c r="D442" s="17"/>
      <c r="E442" s="96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7"/>
      <c r="B443" s="17"/>
      <c r="C443" s="17"/>
      <c r="D443" s="17"/>
      <c r="E443" s="96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7"/>
      <c r="B444" s="17"/>
      <c r="C444" s="17"/>
      <c r="D444" s="17"/>
      <c r="E444" s="96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7"/>
      <c r="B445" s="17"/>
      <c r="C445" s="17"/>
      <c r="D445" s="17"/>
      <c r="E445" s="96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7"/>
      <c r="B446" s="17"/>
      <c r="C446" s="17"/>
      <c r="D446" s="17"/>
      <c r="E446" s="96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7"/>
      <c r="B447" s="17"/>
      <c r="C447" s="17"/>
      <c r="D447" s="17"/>
      <c r="E447" s="96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7"/>
      <c r="B448" s="17"/>
      <c r="C448" s="17"/>
      <c r="D448" s="17"/>
      <c r="E448" s="96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7"/>
      <c r="B449" s="17"/>
      <c r="C449" s="17"/>
      <c r="D449" s="17"/>
      <c r="E449" s="96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7"/>
      <c r="B450" s="17"/>
      <c r="C450" s="17"/>
      <c r="D450" s="17"/>
      <c r="E450" s="96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7"/>
      <c r="B451" s="17"/>
      <c r="C451" s="17"/>
      <c r="D451" s="17"/>
      <c r="E451" s="96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7"/>
      <c r="B452" s="17"/>
      <c r="C452" s="17"/>
      <c r="D452" s="17"/>
      <c r="E452" s="96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7"/>
      <c r="B453" s="17"/>
      <c r="C453" s="17"/>
      <c r="D453" s="17"/>
      <c r="E453" s="96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7"/>
      <c r="B454" s="17"/>
      <c r="C454" s="17"/>
      <c r="D454" s="17"/>
      <c r="E454" s="96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7"/>
      <c r="B455" s="17"/>
      <c r="C455" s="17"/>
      <c r="D455" s="17"/>
      <c r="E455" s="96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7"/>
      <c r="B456" s="17"/>
      <c r="C456" s="17"/>
      <c r="D456" s="17"/>
      <c r="E456" s="96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7"/>
      <c r="B457" s="17"/>
      <c r="C457" s="17"/>
      <c r="D457" s="17"/>
      <c r="E457" s="96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7"/>
      <c r="B458" s="17"/>
      <c r="C458" s="17"/>
      <c r="D458" s="17"/>
      <c r="E458" s="96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7"/>
      <c r="B459" s="17"/>
      <c r="C459" s="17"/>
      <c r="D459" s="17"/>
      <c r="E459" s="96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7"/>
      <c r="B460" s="17"/>
      <c r="C460" s="17"/>
      <c r="D460" s="17"/>
      <c r="E460" s="96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7"/>
      <c r="B461" s="17"/>
      <c r="C461" s="17"/>
      <c r="D461" s="17"/>
      <c r="E461" s="96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7"/>
      <c r="B462" s="17"/>
      <c r="C462" s="17"/>
      <c r="D462" s="17"/>
      <c r="E462" s="96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7"/>
      <c r="B463" s="17"/>
      <c r="C463" s="17"/>
      <c r="D463" s="17"/>
      <c r="E463" s="96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7"/>
      <c r="B464" s="17"/>
      <c r="C464" s="17"/>
      <c r="D464" s="17"/>
      <c r="E464" s="96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7"/>
      <c r="B465" s="17"/>
      <c r="C465" s="17"/>
      <c r="D465" s="17"/>
      <c r="E465" s="96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7"/>
      <c r="B466" s="17"/>
      <c r="C466" s="17"/>
      <c r="D466" s="17"/>
      <c r="E466" s="96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7"/>
      <c r="B467" s="17"/>
      <c r="C467" s="17"/>
      <c r="D467" s="17"/>
      <c r="E467" s="96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7"/>
      <c r="B468" s="17"/>
      <c r="C468" s="17"/>
      <c r="D468" s="17"/>
      <c r="E468" s="96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7"/>
      <c r="B469" s="17"/>
      <c r="C469" s="17"/>
      <c r="D469" s="17"/>
      <c r="E469" s="96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7"/>
      <c r="B470" s="17"/>
      <c r="C470" s="17"/>
      <c r="D470" s="17"/>
      <c r="E470" s="96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7"/>
      <c r="B471" s="17"/>
      <c r="C471" s="17"/>
      <c r="D471" s="17"/>
      <c r="E471" s="96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7"/>
      <c r="B472" s="17"/>
      <c r="C472" s="17"/>
      <c r="D472" s="17"/>
      <c r="E472" s="96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7"/>
      <c r="B473" s="17"/>
      <c r="C473" s="17"/>
      <c r="D473" s="17"/>
      <c r="E473" s="96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7"/>
      <c r="B474" s="17"/>
      <c r="C474" s="17"/>
      <c r="D474" s="17"/>
      <c r="E474" s="96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7"/>
      <c r="B475" s="17"/>
      <c r="C475" s="17"/>
      <c r="D475" s="17"/>
      <c r="E475" s="96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7"/>
      <c r="B476" s="17"/>
      <c r="C476" s="17"/>
      <c r="D476" s="17"/>
      <c r="E476" s="96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7"/>
      <c r="B477" s="17"/>
      <c r="C477" s="17"/>
      <c r="D477" s="17"/>
      <c r="E477" s="96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7"/>
      <c r="B478" s="17"/>
      <c r="C478" s="17"/>
      <c r="D478" s="17"/>
      <c r="E478" s="96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7"/>
      <c r="B479" s="17"/>
      <c r="C479" s="17"/>
      <c r="D479" s="17"/>
      <c r="E479" s="96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7"/>
      <c r="B480" s="17"/>
      <c r="C480" s="17"/>
      <c r="D480" s="17"/>
      <c r="E480" s="96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7"/>
      <c r="B481" s="17"/>
      <c r="C481" s="17"/>
      <c r="D481" s="17"/>
      <c r="E481" s="96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7"/>
      <c r="B482" s="17"/>
      <c r="C482" s="17"/>
      <c r="D482" s="17"/>
      <c r="E482" s="96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7"/>
      <c r="B483" s="17"/>
      <c r="C483" s="17"/>
      <c r="D483" s="17"/>
      <c r="E483" s="96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7"/>
      <c r="B484" s="17"/>
      <c r="C484" s="17"/>
      <c r="D484" s="17"/>
      <c r="E484" s="96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7"/>
      <c r="B485" s="17"/>
      <c r="C485" s="17"/>
      <c r="D485" s="17"/>
      <c r="E485" s="96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7"/>
      <c r="B486" s="17"/>
      <c r="C486" s="17"/>
      <c r="D486" s="17"/>
      <c r="E486" s="96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7"/>
      <c r="B487" s="17"/>
      <c r="C487" s="17"/>
      <c r="D487" s="17"/>
      <c r="E487" s="96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7"/>
      <c r="B488" s="17"/>
      <c r="C488" s="17"/>
      <c r="D488" s="17"/>
      <c r="E488" s="96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7"/>
      <c r="B489" s="17"/>
      <c r="C489" s="17"/>
      <c r="D489" s="17"/>
      <c r="E489" s="96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7"/>
      <c r="B490" s="17"/>
      <c r="C490" s="17"/>
      <c r="D490" s="17"/>
      <c r="E490" s="96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7"/>
      <c r="B491" s="17"/>
      <c r="C491" s="17"/>
      <c r="D491" s="17"/>
      <c r="E491" s="96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7"/>
      <c r="B492" s="17"/>
      <c r="C492" s="17"/>
      <c r="D492" s="17"/>
      <c r="E492" s="96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7"/>
      <c r="B493" s="17"/>
      <c r="C493" s="17"/>
      <c r="D493" s="17"/>
      <c r="E493" s="96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7"/>
      <c r="B494" s="17"/>
      <c r="C494" s="17"/>
      <c r="D494" s="17"/>
      <c r="E494" s="96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7"/>
      <c r="B495" s="17"/>
      <c r="C495" s="17"/>
      <c r="D495" s="17"/>
      <c r="E495" s="96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7"/>
      <c r="B496" s="17"/>
      <c r="C496" s="17"/>
      <c r="D496" s="17"/>
      <c r="E496" s="96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7"/>
      <c r="B497" s="17"/>
      <c r="C497" s="17"/>
      <c r="D497" s="17"/>
      <c r="E497" s="96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7"/>
      <c r="B498" s="17"/>
      <c r="C498" s="17"/>
      <c r="D498" s="17"/>
      <c r="E498" s="96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7"/>
      <c r="B499" s="17"/>
      <c r="C499" s="17"/>
      <c r="D499" s="17"/>
      <c r="E499" s="96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7"/>
      <c r="B500" s="17"/>
      <c r="C500" s="17"/>
      <c r="D500" s="17"/>
      <c r="E500" s="96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7"/>
      <c r="B501" s="17"/>
      <c r="C501" s="17"/>
      <c r="D501" s="17"/>
      <c r="E501" s="96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7"/>
      <c r="B502" s="17"/>
      <c r="C502" s="17"/>
      <c r="D502" s="17"/>
      <c r="E502" s="96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7"/>
      <c r="B503" s="17"/>
      <c r="C503" s="17"/>
      <c r="D503" s="17"/>
      <c r="E503" s="96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7"/>
      <c r="B504" s="17"/>
      <c r="C504" s="17"/>
      <c r="D504" s="17"/>
      <c r="E504" s="96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7"/>
      <c r="B505" s="17"/>
      <c r="C505" s="17"/>
      <c r="D505" s="17"/>
      <c r="E505" s="96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7"/>
      <c r="B506" s="17"/>
      <c r="C506" s="17"/>
      <c r="D506" s="17"/>
      <c r="E506" s="96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7"/>
      <c r="B507" s="17"/>
      <c r="C507" s="17"/>
      <c r="D507" s="17"/>
      <c r="E507" s="96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7"/>
      <c r="B508" s="17"/>
      <c r="C508" s="17"/>
      <c r="D508" s="17"/>
      <c r="E508" s="96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7"/>
      <c r="B509" s="17"/>
      <c r="C509" s="17"/>
      <c r="D509" s="17"/>
      <c r="E509" s="96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7"/>
      <c r="B510" s="17"/>
      <c r="C510" s="17"/>
      <c r="D510" s="17"/>
      <c r="E510" s="96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7"/>
      <c r="B511" s="17"/>
      <c r="C511" s="17"/>
      <c r="D511" s="17"/>
      <c r="E511" s="96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7"/>
      <c r="B512" s="17"/>
      <c r="C512" s="17"/>
      <c r="D512" s="17"/>
      <c r="E512" s="96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7"/>
      <c r="B513" s="17"/>
      <c r="C513" s="17"/>
      <c r="D513" s="17"/>
      <c r="E513" s="96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7"/>
      <c r="B514" s="17"/>
      <c r="C514" s="17"/>
      <c r="D514" s="17"/>
      <c r="E514" s="96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7"/>
      <c r="B515" s="17"/>
      <c r="C515" s="17"/>
      <c r="D515" s="17"/>
      <c r="E515" s="96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7"/>
      <c r="B516" s="17"/>
      <c r="C516" s="17"/>
      <c r="D516" s="17"/>
      <c r="E516" s="96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7"/>
      <c r="B517" s="17"/>
      <c r="C517" s="17"/>
      <c r="D517" s="17"/>
      <c r="E517" s="96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7"/>
      <c r="B518" s="17"/>
      <c r="C518" s="17"/>
      <c r="D518" s="17"/>
      <c r="E518" s="96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7"/>
      <c r="B519" s="17"/>
      <c r="C519" s="17"/>
      <c r="D519" s="17"/>
      <c r="E519" s="96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7"/>
      <c r="B520" s="17"/>
      <c r="C520" s="17"/>
      <c r="D520" s="17"/>
      <c r="E520" s="96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7"/>
      <c r="B521" s="17"/>
      <c r="C521" s="17"/>
      <c r="D521" s="17"/>
      <c r="E521" s="96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7"/>
      <c r="B522" s="17"/>
      <c r="C522" s="17"/>
      <c r="D522" s="17"/>
      <c r="E522" s="96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7"/>
      <c r="B523" s="17"/>
      <c r="C523" s="17"/>
      <c r="D523" s="17"/>
      <c r="E523" s="96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7"/>
      <c r="B524" s="17"/>
      <c r="C524" s="17"/>
      <c r="D524" s="17"/>
      <c r="E524" s="96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7"/>
      <c r="B525" s="17"/>
      <c r="C525" s="17"/>
      <c r="D525" s="17"/>
      <c r="E525" s="96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7"/>
      <c r="B526" s="17"/>
      <c r="C526" s="17"/>
      <c r="D526" s="17"/>
      <c r="E526" s="96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7"/>
      <c r="B527" s="17"/>
      <c r="C527" s="17"/>
      <c r="D527" s="17"/>
      <c r="E527" s="96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7"/>
      <c r="B528" s="17"/>
      <c r="C528" s="17"/>
      <c r="D528" s="17"/>
      <c r="E528" s="96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7"/>
      <c r="B529" s="17"/>
      <c r="C529" s="17"/>
      <c r="D529" s="17"/>
      <c r="E529" s="96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7"/>
      <c r="B530" s="17"/>
      <c r="C530" s="17"/>
      <c r="D530" s="17"/>
      <c r="E530" s="96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7"/>
      <c r="B531" s="17"/>
      <c r="C531" s="17"/>
      <c r="D531" s="17"/>
      <c r="E531" s="96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7"/>
      <c r="B532" s="17"/>
      <c r="C532" s="17"/>
      <c r="D532" s="17"/>
      <c r="E532" s="96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7"/>
      <c r="B533" s="17"/>
      <c r="C533" s="17"/>
      <c r="D533" s="17"/>
      <c r="E533" s="96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7"/>
      <c r="B534" s="17"/>
      <c r="C534" s="17"/>
      <c r="D534" s="17"/>
      <c r="E534" s="96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7"/>
      <c r="B535" s="17"/>
      <c r="C535" s="17"/>
      <c r="D535" s="17"/>
      <c r="E535" s="96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7"/>
      <c r="B536" s="17"/>
      <c r="C536" s="17"/>
      <c r="D536" s="17"/>
      <c r="E536" s="96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7"/>
      <c r="B537" s="17"/>
      <c r="C537" s="17"/>
      <c r="D537" s="17"/>
      <c r="E537" s="96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7"/>
      <c r="B538" s="17"/>
      <c r="C538" s="17"/>
      <c r="D538" s="17"/>
      <c r="E538" s="96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7"/>
      <c r="B539" s="17"/>
      <c r="C539" s="17"/>
      <c r="D539" s="17"/>
      <c r="E539" s="96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7"/>
      <c r="B540" s="17"/>
      <c r="C540" s="17"/>
      <c r="D540" s="17"/>
      <c r="E540" s="96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7"/>
      <c r="B541" s="17"/>
      <c r="C541" s="17"/>
      <c r="D541" s="17"/>
      <c r="E541" s="96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7"/>
      <c r="B542" s="17"/>
      <c r="C542" s="17"/>
      <c r="D542" s="17"/>
      <c r="E542" s="96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7"/>
      <c r="B543" s="17"/>
      <c r="C543" s="17"/>
      <c r="D543" s="17"/>
      <c r="E543" s="96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7"/>
      <c r="B544" s="17"/>
      <c r="C544" s="17"/>
      <c r="D544" s="17"/>
      <c r="E544" s="96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7"/>
      <c r="B545" s="17"/>
      <c r="C545" s="17"/>
      <c r="D545" s="17"/>
      <c r="E545" s="96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7"/>
      <c r="B546" s="17"/>
      <c r="C546" s="17"/>
      <c r="D546" s="17"/>
      <c r="E546" s="96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7"/>
      <c r="B547" s="17"/>
      <c r="C547" s="17"/>
      <c r="D547" s="17"/>
      <c r="E547" s="96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7"/>
      <c r="B548" s="17"/>
      <c r="C548" s="17"/>
      <c r="D548" s="17"/>
      <c r="E548" s="96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7"/>
      <c r="B549" s="17"/>
      <c r="C549" s="17"/>
      <c r="D549" s="17"/>
      <c r="E549" s="96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7"/>
      <c r="B550" s="17"/>
      <c r="C550" s="17"/>
      <c r="D550" s="17"/>
      <c r="E550" s="96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7"/>
      <c r="B551" s="17"/>
      <c r="C551" s="17"/>
      <c r="D551" s="17"/>
      <c r="E551" s="96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7"/>
      <c r="B552" s="17"/>
      <c r="C552" s="17"/>
      <c r="D552" s="17"/>
      <c r="E552" s="96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7"/>
      <c r="B553" s="17"/>
      <c r="C553" s="17"/>
      <c r="D553" s="17"/>
      <c r="E553" s="96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7"/>
      <c r="B554" s="17"/>
      <c r="C554" s="17"/>
      <c r="D554" s="17"/>
      <c r="E554" s="96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7"/>
      <c r="B555" s="17"/>
      <c r="C555" s="17"/>
      <c r="D555" s="17"/>
      <c r="E555" s="96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7"/>
      <c r="B556" s="17"/>
      <c r="C556" s="17"/>
      <c r="D556" s="17"/>
      <c r="E556" s="96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7"/>
      <c r="B557" s="17"/>
      <c r="C557" s="17"/>
      <c r="D557" s="17"/>
      <c r="E557" s="96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7"/>
      <c r="B558" s="17"/>
      <c r="C558" s="17"/>
      <c r="D558" s="17"/>
      <c r="E558" s="96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7"/>
      <c r="B559" s="17"/>
      <c r="C559" s="17"/>
      <c r="D559" s="17"/>
      <c r="E559" s="96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7"/>
      <c r="B560" s="17"/>
      <c r="C560" s="17"/>
      <c r="D560" s="17"/>
      <c r="E560" s="96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7"/>
      <c r="B561" s="17"/>
      <c r="C561" s="17"/>
      <c r="D561" s="17"/>
      <c r="E561" s="96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7"/>
      <c r="B562" s="17"/>
      <c r="C562" s="17"/>
      <c r="D562" s="17"/>
      <c r="E562" s="96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7"/>
      <c r="B563" s="17"/>
      <c r="C563" s="17"/>
      <c r="D563" s="17"/>
      <c r="E563" s="96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7"/>
      <c r="B564" s="17"/>
      <c r="C564" s="17"/>
      <c r="D564" s="17"/>
      <c r="E564" s="96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7"/>
      <c r="B565" s="17"/>
      <c r="C565" s="17"/>
      <c r="D565" s="17"/>
      <c r="E565" s="96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7"/>
      <c r="B566" s="17"/>
      <c r="C566" s="17"/>
      <c r="D566" s="17"/>
      <c r="E566" s="96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7"/>
      <c r="B567" s="17"/>
      <c r="C567" s="17"/>
      <c r="D567" s="17"/>
      <c r="E567" s="96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7"/>
      <c r="B568" s="17"/>
      <c r="C568" s="17"/>
      <c r="D568" s="17"/>
      <c r="E568" s="96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7"/>
      <c r="B569" s="17"/>
      <c r="C569" s="17"/>
      <c r="D569" s="17"/>
      <c r="E569" s="96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7"/>
      <c r="B570" s="17"/>
      <c r="C570" s="17"/>
      <c r="D570" s="17"/>
      <c r="E570" s="96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7"/>
      <c r="B571" s="17"/>
      <c r="C571" s="17"/>
      <c r="D571" s="17"/>
      <c r="E571" s="96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7"/>
      <c r="B572" s="17"/>
      <c r="C572" s="17"/>
      <c r="D572" s="17"/>
      <c r="E572" s="96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7"/>
      <c r="B573" s="17"/>
      <c r="C573" s="17"/>
      <c r="D573" s="17"/>
      <c r="E573" s="96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7"/>
      <c r="B574" s="17"/>
      <c r="C574" s="17"/>
      <c r="D574" s="17"/>
      <c r="E574" s="96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7"/>
      <c r="B575" s="17"/>
      <c r="C575" s="17"/>
      <c r="D575" s="17"/>
      <c r="E575" s="96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7"/>
      <c r="B576" s="17"/>
      <c r="C576" s="17"/>
      <c r="D576" s="17"/>
      <c r="E576" s="96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7"/>
      <c r="B577" s="17"/>
      <c r="C577" s="17"/>
      <c r="D577" s="17"/>
      <c r="E577" s="96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7"/>
      <c r="B578" s="17"/>
      <c r="C578" s="17"/>
      <c r="D578" s="17"/>
      <c r="E578" s="96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7"/>
      <c r="B579" s="17"/>
      <c r="C579" s="17"/>
      <c r="D579" s="17"/>
      <c r="E579" s="96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7"/>
      <c r="B580" s="17"/>
      <c r="C580" s="17"/>
      <c r="D580" s="17"/>
      <c r="E580" s="96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7"/>
      <c r="B581" s="17"/>
      <c r="C581" s="17"/>
      <c r="D581" s="17"/>
      <c r="E581" s="96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7"/>
      <c r="B582" s="17"/>
      <c r="C582" s="17"/>
      <c r="D582" s="17"/>
      <c r="E582" s="96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7"/>
      <c r="B583" s="17"/>
      <c r="C583" s="17"/>
      <c r="D583" s="17"/>
      <c r="E583" s="96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7"/>
      <c r="B584" s="17"/>
      <c r="C584" s="17"/>
      <c r="D584" s="17"/>
      <c r="E584" s="96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7"/>
      <c r="B585" s="17"/>
      <c r="C585" s="17"/>
      <c r="D585" s="17"/>
      <c r="E585" s="96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7"/>
      <c r="B586" s="17"/>
      <c r="C586" s="17"/>
      <c r="D586" s="17"/>
      <c r="E586" s="96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7"/>
      <c r="B587" s="17"/>
      <c r="C587" s="17"/>
      <c r="D587" s="17"/>
      <c r="E587" s="96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7"/>
      <c r="B588" s="17"/>
      <c r="C588" s="17"/>
      <c r="D588" s="17"/>
      <c r="E588" s="96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7"/>
      <c r="B589" s="17"/>
      <c r="C589" s="17"/>
      <c r="D589" s="17"/>
      <c r="E589" s="96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7"/>
      <c r="B590" s="17"/>
      <c r="C590" s="17"/>
      <c r="D590" s="17"/>
      <c r="E590" s="96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7"/>
      <c r="B591" s="17"/>
      <c r="C591" s="17"/>
      <c r="D591" s="17"/>
      <c r="E591" s="96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7"/>
      <c r="B592" s="17"/>
      <c r="C592" s="17"/>
      <c r="D592" s="17"/>
      <c r="E592" s="96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7"/>
      <c r="B593" s="17"/>
      <c r="C593" s="17"/>
      <c r="D593" s="17"/>
      <c r="E593" s="96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7"/>
      <c r="B594" s="17"/>
      <c r="C594" s="17"/>
      <c r="D594" s="17"/>
      <c r="E594" s="96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7"/>
      <c r="B595" s="17"/>
      <c r="C595" s="17"/>
      <c r="D595" s="17"/>
      <c r="E595" s="96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7"/>
      <c r="B596" s="17"/>
      <c r="C596" s="17"/>
      <c r="D596" s="17"/>
      <c r="E596" s="96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7"/>
      <c r="B597" s="17"/>
      <c r="C597" s="17"/>
      <c r="D597" s="17"/>
      <c r="E597" s="96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7"/>
      <c r="B598" s="17"/>
      <c r="C598" s="17"/>
      <c r="D598" s="17"/>
      <c r="E598" s="96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7"/>
      <c r="B599" s="17"/>
      <c r="C599" s="17"/>
      <c r="D599" s="17"/>
      <c r="E599" s="96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7"/>
      <c r="B600" s="17"/>
      <c r="C600" s="17"/>
      <c r="D600" s="17"/>
      <c r="E600" s="96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7"/>
      <c r="B601" s="17"/>
      <c r="C601" s="17"/>
      <c r="D601" s="17"/>
      <c r="E601" s="96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7"/>
      <c r="B602" s="17"/>
      <c r="C602" s="17"/>
      <c r="D602" s="17"/>
      <c r="E602" s="96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7"/>
      <c r="B603" s="17"/>
      <c r="C603" s="17"/>
      <c r="D603" s="17"/>
      <c r="E603" s="96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7"/>
      <c r="B604" s="17"/>
      <c r="C604" s="17"/>
      <c r="D604" s="17"/>
      <c r="E604" s="96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7"/>
      <c r="B605" s="17"/>
      <c r="C605" s="17"/>
      <c r="D605" s="17"/>
      <c r="E605" s="96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7"/>
      <c r="B606" s="17"/>
      <c r="C606" s="17"/>
      <c r="D606" s="17"/>
      <c r="E606" s="96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7"/>
      <c r="B607" s="17"/>
      <c r="C607" s="17"/>
      <c r="D607" s="17"/>
      <c r="E607" s="96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7"/>
      <c r="B608" s="17"/>
      <c r="C608" s="17"/>
      <c r="D608" s="17"/>
      <c r="E608" s="96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7"/>
      <c r="B609" s="17"/>
      <c r="C609" s="17"/>
      <c r="D609" s="17"/>
      <c r="E609" s="96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7"/>
      <c r="B610" s="17"/>
      <c r="C610" s="17"/>
      <c r="D610" s="17"/>
      <c r="E610" s="96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7"/>
      <c r="B611" s="17"/>
      <c r="C611" s="17"/>
      <c r="D611" s="17"/>
      <c r="E611" s="96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7"/>
      <c r="B612" s="17"/>
      <c r="C612" s="17"/>
      <c r="D612" s="17"/>
      <c r="E612" s="96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7"/>
      <c r="B613" s="17"/>
      <c r="C613" s="17"/>
      <c r="D613" s="17"/>
      <c r="E613" s="96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7"/>
      <c r="B614" s="17"/>
      <c r="C614" s="17"/>
      <c r="D614" s="17"/>
      <c r="E614" s="96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7"/>
      <c r="B615" s="17"/>
      <c r="C615" s="17"/>
      <c r="D615" s="17"/>
      <c r="E615" s="96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7"/>
      <c r="B616" s="17"/>
      <c r="C616" s="17"/>
      <c r="D616" s="17"/>
      <c r="E616" s="96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7"/>
      <c r="B617" s="17"/>
      <c r="C617" s="17"/>
      <c r="D617" s="17"/>
      <c r="E617" s="96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7"/>
      <c r="B618" s="17"/>
      <c r="C618" s="17"/>
      <c r="D618" s="17"/>
      <c r="E618" s="96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7"/>
      <c r="B619" s="17"/>
      <c r="C619" s="17"/>
      <c r="D619" s="17"/>
      <c r="E619" s="96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7"/>
      <c r="B620" s="17"/>
      <c r="C620" s="17"/>
      <c r="D620" s="17"/>
      <c r="E620" s="96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7"/>
      <c r="B621" s="17"/>
      <c r="C621" s="17"/>
      <c r="D621" s="17"/>
      <c r="E621" s="96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7"/>
      <c r="B622" s="17"/>
      <c r="C622" s="17"/>
      <c r="D622" s="17"/>
      <c r="E622" s="96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7"/>
      <c r="B623" s="17"/>
      <c r="C623" s="17"/>
      <c r="D623" s="17"/>
      <c r="E623" s="96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7"/>
      <c r="B624" s="17"/>
      <c r="C624" s="17"/>
      <c r="D624" s="17"/>
      <c r="E624" s="96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7"/>
      <c r="B625" s="17"/>
      <c r="C625" s="17"/>
      <c r="D625" s="17"/>
      <c r="E625" s="96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7"/>
      <c r="B626" s="17"/>
      <c r="C626" s="17"/>
      <c r="D626" s="17"/>
      <c r="E626" s="96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7"/>
      <c r="B627" s="17"/>
      <c r="C627" s="17"/>
      <c r="D627" s="17"/>
      <c r="E627" s="96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7"/>
      <c r="B628" s="17"/>
      <c r="C628" s="17"/>
      <c r="D628" s="17"/>
      <c r="E628" s="96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7"/>
      <c r="B629" s="17"/>
      <c r="C629" s="17"/>
      <c r="D629" s="17"/>
      <c r="E629" s="96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7"/>
      <c r="B630" s="17"/>
      <c r="C630" s="17"/>
      <c r="D630" s="17"/>
      <c r="E630" s="96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7"/>
      <c r="B631" s="17"/>
      <c r="C631" s="17"/>
      <c r="D631" s="17"/>
      <c r="E631" s="96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7"/>
      <c r="B632" s="17"/>
      <c r="C632" s="17"/>
      <c r="D632" s="17"/>
      <c r="E632" s="96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7"/>
      <c r="B633" s="17"/>
      <c r="C633" s="17"/>
      <c r="D633" s="17"/>
      <c r="E633" s="96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7"/>
      <c r="B634" s="17"/>
      <c r="C634" s="17"/>
      <c r="D634" s="17"/>
      <c r="E634" s="96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7"/>
      <c r="B635" s="17"/>
      <c r="C635" s="17"/>
      <c r="D635" s="17"/>
      <c r="E635" s="96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7"/>
      <c r="B636" s="17"/>
      <c r="C636" s="17"/>
      <c r="D636" s="17"/>
      <c r="E636" s="96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7"/>
      <c r="B637" s="17"/>
      <c r="C637" s="17"/>
      <c r="D637" s="17"/>
      <c r="E637" s="96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7"/>
      <c r="B638" s="17"/>
      <c r="C638" s="17"/>
      <c r="D638" s="17"/>
      <c r="E638" s="96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7"/>
      <c r="B639" s="17"/>
      <c r="C639" s="17"/>
      <c r="D639" s="17"/>
      <c r="E639" s="96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7"/>
      <c r="B640" s="17"/>
      <c r="C640" s="17"/>
      <c r="D640" s="17"/>
      <c r="E640" s="96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7"/>
      <c r="B641" s="17"/>
      <c r="C641" s="17"/>
      <c r="D641" s="17"/>
      <c r="E641" s="96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7"/>
      <c r="B642" s="17"/>
      <c r="C642" s="17"/>
      <c r="D642" s="17"/>
      <c r="E642" s="96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7"/>
      <c r="B643" s="17"/>
      <c r="C643" s="17"/>
      <c r="D643" s="17"/>
      <c r="E643" s="96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7"/>
      <c r="B644" s="17"/>
      <c r="C644" s="17"/>
      <c r="D644" s="17"/>
      <c r="E644" s="96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7"/>
      <c r="B645" s="17"/>
      <c r="C645" s="17"/>
      <c r="D645" s="17"/>
      <c r="E645" s="96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7"/>
      <c r="B646" s="17"/>
      <c r="C646" s="17"/>
      <c r="D646" s="17"/>
      <c r="E646" s="96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7"/>
      <c r="B647" s="17"/>
      <c r="C647" s="17"/>
      <c r="D647" s="17"/>
      <c r="E647" s="96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7"/>
      <c r="B648" s="17"/>
      <c r="C648" s="17"/>
      <c r="D648" s="17"/>
      <c r="E648" s="96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7"/>
      <c r="B649" s="17"/>
      <c r="C649" s="17"/>
      <c r="D649" s="17"/>
      <c r="E649" s="96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7"/>
      <c r="B650" s="17"/>
      <c r="C650" s="17"/>
      <c r="D650" s="17"/>
      <c r="E650" s="96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7"/>
      <c r="B651" s="17"/>
      <c r="C651" s="17"/>
      <c r="D651" s="17"/>
      <c r="E651" s="96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7"/>
      <c r="B652" s="17"/>
      <c r="C652" s="17"/>
      <c r="D652" s="17"/>
      <c r="E652" s="96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7"/>
      <c r="B653" s="17"/>
      <c r="C653" s="17"/>
      <c r="D653" s="17"/>
      <c r="E653" s="96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7"/>
      <c r="B654" s="17"/>
      <c r="C654" s="17"/>
      <c r="D654" s="17"/>
      <c r="E654" s="96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7"/>
      <c r="B655" s="17"/>
      <c r="C655" s="17"/>
      <c r="D655" s="17"/>
      <c r="E655" s="96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7"/>
      <c r="B656" s="17"/>
      <c r="C656" s="17"/>
      <c r="D656" s="17"/>
      <c r="E656" s="96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7"/>
      <c r="B657" s="17"/>
      <c r="C657" s="17"/>
      <c r="D657" s="17"/>
      <c r="E657" s="96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7"/>
      <c r="B658" s="17"/>
      <c r="C658" s="17"/>
      <c r="D658" s="17"/>
      <c r="E658" s="96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7"/>
      <c r="B659" s="17"/>
      <c r="C659" s="17"/>
      <c r="D659" s="17"/>
      <c r="E659" s="96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7"/>
      <c r="B660" s="17"/>
      <c r="C660" s="17"/>
      <c r="D660" s="17"/>
      <c r="E660" s="96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7"/>
      <c r="B661" s="17"/>
      <c r="C661" s="17"/>
      <c r="D661" s="17"/>
      <c r="E661" s="96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7"/>
      <c r="B662" s="17"/>
      <c r="C662" s="17"/>
      <c r="D662" s="17"/>
      <c r="E662" s="96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7"/>
      <c r="B663" s="17"/>
      <c r="C663" s="17"/>
      <c r="D663" s="17"/>
      <c r="E663" s="96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7"/>
      <c r="B664" s="17"/>
      <c r="C664" s="17"/>
      <c r="D664" s="17"/>
      <c r="E664" s="96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7"/>
      <c r="B665" s="17"/>
      <c r="C665" s="17"/>
      <c r="D665" s="17"/>
      <c r="E665" s="96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7"/>
      <c r="B666" s="17"/>
      <c r="C666" s="17"/>
      <c r="D666" s="17"/>
      <c r="E666" s="96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7"/>
      <c r="B667" s="17"/>
      <c r="C667" s="17"/>
      <c r="D667" s="17"/>
      <c r="E667" s="96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7"/>
      <c r="B668" s="17"/>
      <c r="C668" s="17"/>
      <c r="D668" s="17"/>
      <c r="E668" s="96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7"/>
      <c r="B669" s="17"/>
      <c r="C669" s="17"/>
      <c r="D669" s="17"/>
      <c r="E669" s="96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7"/>
      <c r="B670" s="17"/>
      <c r="C670" s="17"/>
      <c r="D670" s="17"/>
      <c r="E670" s="96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7"/>
      <c r="B671" s="17"/>
      <c r="C671" s="17"/>
      <c r="D671" s="17"/>
      <c r="E671" s="96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7"/>
      <c r="B672" s="17"/>
      <c r="C672" s="17"/>
      <c r="D672" s="17"/>
      <c r="E672" s="96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7"/>
      <c r="B673" s="17"/>
      <c r="C673" s="17"/>
      <c r="D673" s="17"/>
      <c r="E673" s="96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7"/>
      <c r="B674" s="17"/>
      <c r="C674" s="17"/>
      <c r="D674" s="17"/>
      <c r="E674" s="96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7"/>
      <c r="B675" s="17"/>
      <c r="C675" s="17"/>
      <c r="D675" s="17"/>
      <c r="E675" s="96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7"/>
      <c r="B676" s="17"/>
      <c r="C676" s="17"/>
      <c r="D676" s="17"/>
      <c r="E676" s="96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7"/>
      <c r="B677" s="17"/>
      <c r="C677" s="17"/>
      <c r="D677" s="17"/>
      <c r="E677" s="96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7"/>
      <c r="B678" s="17"/>
      <c r="C678" s="17"/>
      <c r="D678" s="17"/>
      <c r="E678" s="96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7"/>
      <c r="B679" s="17"/>
      <c r="C679" s="17"/>
      <c r="D679" s="17"/>
      <c r="E679" s="96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7"/>
      <c r="B680" s="17"/>
      <c r="C680" s="17"/>
      <c r="D680" s="17"/>
      <c r="E680" s="96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7"/>
      <c r="B681" s="17"/>
      <c r="C681" s="17"/>
      <c r="D681" s="17"/>
      <c r="E681" s="96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7"/>
      <c r="B682" s="17"/>
      <c r="C682" s="17"/>
      <c r="D682" s="17"/>
      <c r="E682" s="96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7"/>
      <c r="B683" s="17"/>
      <c r="C683" s="17"/>
      <c r="D683" s="17"/>
      <c r="E683" s="96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7"/>
      <c r="B684" s="17"/>
      <c r="C684" s="17"/>
      <c r="D684" s="17"/>
      <c r="E684" s="96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7"/>
      <c r="B685" s="17"/>
      <c r="C685" s="17"/>
      <c r="D685" s="17"/>
      <c r="E685" s="96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7"/>
      <c r="B686" s="17"/>
      <c r="C686" s="17"/>
      <c r="D686" s="17"/>
      <c r="E686" s="96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7"/>
      <c r="B687" s="17"/>
      <c r="C687" s="17"/>
      <c r="D687" s="17"/>
      <c r="E687" s="96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7"/>
      <c r="B688" s="17"/>
      <c r="C688" s="17"/>
      <c r="D688" s="17"/>
      <c r="E688" s="96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7"/>
      <c r="B689" s="17"/>
      <c r="C689" s="17"/>
      <c r="D689" s="17"/>
      <c r="E689" s="96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7"/>
      <c r="B690" s="17"/>
      <c r="C690" s="17"/>
      <c r="D690" s="17"/>
      <c r="E690" s="96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7"/>
      <c r="B691" s="17"/>
      <c r="C691" s="17"/>
      <c r="D691" s="17"/>
      <c r="E691" s="96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7"/>
      <c r="B692" s="17"/>
      <c r="C692" s="17"/>
      <c r="D692" s="17"/>
      <c r="E692" s="96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7"/>
      <c r="B693" s="17"/>
      <c r="C693" s="17"/>
      <c r="D693" s="17"/>
      <c r="E693" s="96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7"/>
      <c r="B694" s="17"/>
      <c r="C694" s="17"/>
      <c r="D694" s="17"/>
      <c r="E694" s="96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7"/>
      <c r="B695" s="17"/>
      <c r="C695" s="17"/>
      <c r="D695" s="17"/>
      <c r="E695" s="96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7"/>
      <c r="B696" s="17"/>
      <c r="C696" s="17"/>
      <c r="D696" s="17"/>
      <c r="E696" s="96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7"/>
      <c r="B697" s="17"/>
      <c r="C697" s="17"/>
      <c r="D697" s="17"/>
      <c r="E697" s="96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7"/>
      <c r="B698" s="17"/>
      <c r="C698" s="17"/>
      <c r="D698" s="17"/>
      <c r="E698" s="96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7"/>
      <c r="B699" s="17"/>
      <c r="C699" s="17"/>
      <c r="D699" s="17"/>
      <c r="E699" s="96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7"/>
      <c r="B700" s="17"/>
      <c r="C700" s="17"/>
      <c r="D700" s="17"/>
      <c r="E700" s="96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7"/>
      <c r="B701" s="17"/>
      <c r="C701" s="17"/>
      <c r="D701" s="17"/>
      <c r="E701" s="96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7"/>
      <c r="B702" s="17"/>
      <c r="C702" s="17"/>
      <c r="D702" s="17"/>
      <c r="E702" s="96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7"/>
      <c r="B703" s="17"/>
      <c r="C703" s="17"/>
      <c r="D703" s="17"/>
      <c r="E703" s="96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7"/>
      <c r="B704" s="17"/>
      <c r="C704" s="17"/>
      <c r="D704" s="17"/>
      <c r="E704" s="96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7"/>
      <c r="B705" s="17"/>
      <c r="C705" s="17"/>
      <c r="D705" s="17"/>
      <c r="E705" s="96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7"/>
      <c r="B706" s="17"/>
      <c r="C706" s="17"/>
      <c r="D706" s="17"/>
      <c r="E706" s="96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7"/>
      <c r="B707" s="17"/>
      <c r="C707" s="17"/>
      <c r="D707" s="17"/>
      <c r="E707" s="96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7"/>
      <c r="B708" s="17"/>
      <c r="C708" s="17"/>
      <c r="D708" s="17"/>
      <c r="E708" s="96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7"/>
      <c r="B709" s="17"/>
      <c r="C709" s="17"/>
      <c r="D709" s="17"/>
      <c r="E709" s="96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7"/>
      <c r="B710" s="17"/>
      <c r="C710" s="17"/>
      <c r="D710" s="17"/>
      <c r="E710" s="96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7"/>
      <c r="B711" s="17"/>
      <c r="C711" s="17"/>
      <c r="D711" s="17"/>
      <c r="E711" s="96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7"/>
      <c r="B712" s="17"/>
      <c r="C712" s="17"/>
      <c r="D712" s="17"/>
      <c r="E712" s="96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7"/>
      <c r="B713" s="17"/>
      <c r="C713" s="17"/>
      <c r="D713" s="17"/>
      <c r="E713" s="96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7"/>
      <c r="B714" s="17"/>
      <c r="C714" s="17"/>
      <c r="D714" s="17"/>
      <c r="E714" s="96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7"/>
      <c r="B715" s="17"/>
      <c r="C715" s="17"/>
      <c r="D715" s="17"/>
      <c r="E715" s="96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7"/>
      <c r="B716" s="17"/>
      <c r="C716" s="17"/>
      <c r="D716" s="17"/>
      <c r="E716" s="96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7"/>
      <c r="B717" s="17"/>
      <c r="C717" s="17"/>
      <c r="D717" s="17"/>
      <c r="E717" s="96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7"/>
      <c r="B718" s="17"/>
      <c r="C718" s="17"/>
      <c r="D718" s="17"/>
      <c r="E718" s="96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7"/>
      <c r="B719" s="17"/>
      <c r="C719" s="17"/>
      <c r="D719" s="17"/>
      <c r="E719" s="96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7"/>
      <c r="B720" s="17"/>
      <c r="C720" s="17"/>
      <c r="D720" s="17"/>
      <c r="E720" s="96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7"/>
      <c r="B721" s="17"/>
      <c r="C721" s="17"/>
      <c r="D721" s="17"/>
      <c r="E721" s="96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7"/>
      <c r="B722" s="17"/>
      <c r="C722" s="17"/>
      <c r="D722" s="17"/>
      <c r="E722" s="96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7"/>
      <c r="B723" s="17"/>
      <c r="C723" s="17"/>
      <c r="D723" s="17"/>
      <c r="E723" s="96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7"/>
      <c r="B724" s="17"/>
      <c r="C724" s="17"/>
      <c r="D724" s="17"/>
      <c r="E724" s="96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7"/>
      <c r="B725" s="17"/>
      <c r="C725" s="17"/>
      <c r="D725" s="17"/>
      <c r="E725" s="96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7"/>
      <c r="B726" s="17"/>
      <c r="C726" s="17"/>
      <c r="D726" s="17"/>
      <c r="E726" s="96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7"/>
      <c r="B727" s="17"/>
      <c r="C727" s="17"/>
      <c r="D727" s="17"/>
      <c r="E727" s="96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7"/>
      <c r="B728" s="17"/>
      <c r="C728" s="17"/>
      <c r="D728" s="17"/>
      <c r="E728" s="96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7"/>
      <c r="B729" s="17"/>
      <c r="C729" s="17"/>
      <c r="D729" s="17"/>
      <c r="E729" s="96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7"/>
      <c r="B730" s="17"/>
      <c r="C730" s="17"/>
      <c r="D730" s="17"/>
      <c r="E730" s="96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7"/>
      <c r="B731" s="17"/>
      <c r="C731" s="17"/>
      <c r="D731" s="17"/>
      <c r="E731" s="96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7"/>
      <c r="B732" s="17"/>
      <c r="C732" s="17"/>
      <c r="D732" s="17"/>
      <c r="E732" s="96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7"/>
      <c r="B733" s="17"/>
      <c r="C733" s="17"/>
      <c r="D733" s="17"/>
      <c r="E733" s="96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7"/>
      <c r="B734" s="17"/>
      <c r="C734" s="17"/>
      <c r="D734" s="17"/>
      <c r="E734" s="96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7"/>
      <c r="B735" s="17"/>
      <c r="C735" s="17"/>
      <c r="D735" s="17"/>
      <c r="E735" s="96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7"/>
      <c r="B736" s="17"/>
      <c r="C736" s="17"/>
      <c r="D736" s="17"/>
      <c r="E736" s="96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7"/>
      <c r="B737" s="17"/>
      <c r="C737" s="17"/>
      <c r="D737" s="17"/>
      <c r="E737" s="96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7"/>
      <c r="B738" s="17"/>
      <c r="C738" s="17"/>
      <c r="D738" s="17"/>
      <c r="E738" s="96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7"/>
      <c r="B739" s="17"/>
      <c r="C739" s="17"/>
      <c r="D739" s="17"/>
      <c r="E739" s="96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7"/>
      <c r="B740" s="17"/>
      <c r="C740" s="17"/>
      <c r="D740" s="17"/>
      <c r="E740" s="96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7"/>
      <c r="B741" s="17"/>
      <c r="C741" s="17"/>
      <c r="D741" s="17"/>
      <c r="E741" s="96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7"/>
      <c r="B742" s="17"/>
      <c r="C742" s="17"/>
      <c r="D742" s="17"/>
      <c r="E742" s="96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7"/>
      <c r="B743" s="17"/>
      <c r="C743" s="17"/>
      <c r="D743" s="17"/>
      <c r="E743" s="96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7"/>
      <c r="B744" s="17"/>
      <c r="C744" s="17"/>
      <c r="D744" s="17"/>
      <c r="E744" s="96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7"/>
      <c r="B745" s="17"/>
      <c r="C745" s="17"/>
      <c r="D745" s="17"/>
      <c r="E745" s="96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7"/>
      <c r="B746" s="17"/>
      <c r="C746" s="17"/>
      <c r="D746" s="17"/>
      <c r="E746" s="96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7"/>
      <c r="B747" s="17"/>
      <c r="C747" s="17"/>
      <c r="D747" s="17"/>
      <c r="E747" s="96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7"/>
      <c r="B748" s="17"/>
      <c r="C748" s="17"/>
      <c r="D748" s="17"/>
      <c r="E748" s="96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7"/>
      <c r="B749" s="17"/>
      <c r="C749" s="17"/>
      <c r="D749" s="17"/>
      <c r="E749" s="96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7"/>
      <c r="B750" s="17"/>
      <c r="C750" s="17"/>
      <c r="D750" s="17"/>
      <c r="E750" s="96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7"/>
      <c r="B751" s="17"/>
      <c r="C751" s="17"/>
      <c r="D751" s="17"/>
      <c r="E751" s="96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7"/>
      <c r="B752" s="17"/>
      <c r="C752" s="17"/>
      <c r="D752" s="17"/>
      <c r="E752" s="96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7"/>
      <c r="B753" s="17"/>
      <c r="C753" s="17"/>
      <c r="D753" s="17"/>
      <c r="E753" s="96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7"/>
      <c r="B754" s="17"/>
      <c r="C754" s="17"/>
      <c r="D754" s="17"/>
      <c r="E754" s="96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7"/>
      <c r="B755" s="17"/>
      <c r="C755" s="17"/>
      <c r="D755" s="17"/>
      <c r="E755" s="96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7"/>
      <c r="B756" s="17"/>
      <c r="C756" s="17"/>
      <c r="D756" s="17"/>
      <c r="E756" s="96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7"/>
      <c r="B757" s="17"/>
      <c r="C757" s="17"/>
      <c r="D757" s="17"/>
      <c r="E757" s="96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7"/>
      <c r="B758" s="17"/>
      <c r="C758" s="17"/>
      <c r="D758" s="17"/>
      <c r="E758" s="96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7"/>
      <c r="B759" s="17"/>
      <c r="C759" s="17"/>
      <c r="D759" s="17"/>
      <c r="E759" s="96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7"/>
      <c r="B760" s="17"/>
      <c r="C760" s="17"/>
      <c r="D760" s="17"/>
      <c r="E760" s="96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7"/>
      <c r="B761" s="17"/>
      <c r="C761" s="17"/>
      <c r="D761" s="17"/>
      <c r="E761" s="96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7"/>
      <c r="B762" s="17"/>
      <c r="C762" s="17"/>
      <c r="D762" s="17"/>
      <c r="E762" s="96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7"/>
      <c r="B763" s="17"/>
      <c r="C763" s="17"/>
      <c r="D763" s="17"/>
      <c r="E763" s="96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7"/>
      <c r="B764" s="17"/>
      <c r="C764" s="17"/>
      <c r="D764" s="17"/>
      <c r="E764" s="96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7"/>
      <c r="B765" s="17"/>
      <c r="C765" s="17"/>
      <c r="D765" s="17"/>
      <c r="E765" s="96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7"/>
      <c r="B766" s="17"/>
      <c r="C766" s="17"/>
      <c r="D766" s="17"/>
      <c r="E766" s="96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7"/>
      <c r="B767" s="17"/>
      <c r="C767" s="17"/>
      <c r="D767" s="17"/>
      <c r="E767" s="96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7"/>
      <c r="B768" s="17"/>
      <c r="C768" s="17"/>
      <c r="D768" s="17"/>
      <c r="E768" s="96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7"/>
      <c r="B769" s="17"/>
      <c r="C769" s="17"/>
      <c r="D769" s="17"/>
      <c r="E769" s="96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7"/>
      <c r="B770" s="17"/>
      <c r="C770" s="17"/>
      <c r="D770" s="17"/>
      <c r="E770" s="96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7"/>
      <c r="B771" s="17"/>
      <c r="C771" s="17"/>
      <c r="D771" s="17"/>
      <c r="E771" s="96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7"/>
      <c r="B772" s="17"/>
      <c r="C772" s="17"/>
      <c r="D772" s="17"/>
      <c r="E772" s="96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7"/>
      <c r="B773" s="17"/>
      <c r="C773" s="17"/>
      <c r="D773" s="17"/>
      <c r="E773" s="96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7"/>
      <c r="B774" s="17"/>
      <c r="C774" s="17"/>
      <c r="D774" s="17"/>
      <c r="E774" s="96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7"/>
      <c r="B775" s="17"/>
      <c r="C775" s="17"/>
      <c r="D775" s="17"/>
      <c r="E775" s="96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7"/>
      <c r="B776" s="17"/>
      <c r="C776" s="17"/>
      <c r="D776" s="17"/>
      <c r="E776" s="96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7"/>
      <c r="B777" s="17"/>
      <c r="C777" s="17"/>
      <c r="D777" s="17"/>
      <c r="E777" s="96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7"/>
      <c r="B778" s="17"/>
      <c r="C778" s="17"/>
      <c r="D778" s="17"/>
      <c r="E778" s="96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7"/>
      <c r="B779" s="17"/>
      <c r="C779" s="17"/>
      <c r="D779" s="17"/>
      <c r="E779" s="96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7"/>
      <c r="B780" s="17"/>
      <c r="C780" s="17"/>
      <c r="D780" s="17"/>
      <c r="E780" s="96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7"/>
      <c r="B781" s="17"/>
      <c r="C781" s="17"/>
      <c r="D781" s="17"/>
      <c r="E781" s="96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7"/>
      <c r="B782" s="17"/>
      <c r="C782" s="17"/>
      <c r="D782" s="17"/>
      <c r="E782" s="96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7"/>
      <c r="B783" s="17"/>
      <c r="C783" s="17"/>
      <c r="D783" s="17"/>
      <c r="E783" s="96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7"/>
      <c r="B784" s="17"/>
      <c r="C784" s="17"/>
      <c r="D784" s="17"/>
      <c r="E784" s="96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7"/>
      <c r="B785" s="17"/>
      <c r="C785" s="17"/>
      <c r="D785" s="17"/>
      <c r="E785" s="96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7"/>
      <c r="B786" s="17"/>
      <c r="C786" s="17"/>
      <c r="D786" s="17"/>
      <c r="E786" s="96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7"/>
      <c r="B787" s="17"/>
      <c r="C787" s="17"/>
      <c r="D787" s="17"/>
      <c r="E787" s="96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7"/>
      <c r="B788" s="17"/>
      <c r="C788" s="17"/>
      <c r="D788" s="17"/>
      <c r="E788" s="96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7"/>
      <c r="B789" s="17"/>
      <c r="C789" s="17"/>
      <c r="D789" s="17"/>
      <c r="E789" s="96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7"/>
      <c r="B790" s="17"/>
      <c r="C790" s="17"/>
      <c r="D790" s="17"/>
      <c r="E790" s="96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7"/>
      <c r="B791" s="17"/>
      <c r="C791" s="17"/>
      <c r="D791" s="17"/>
      <c r="E791" s="96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7"/>
      <c r="B792" s="17"/>
      <c r="C792" s="17"/>
      <c r="D792" s="17"/>
      <c r="E792" s="96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7"/>
      <c r="B793" s="17"/>
      <c r="C793" s="17"/>
      <c r="D793" s="17"/>
      <c r="E793" s="96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7"/>
      <c r="B794" s="17"/>
      <c r="C794" s="17"/>
      <c r="D794" s="17"/>
      <c r="E794" s="96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7"/>
      <c r="B795" s="17"/>
      <c r="C795" s="17"/>
      <c r="D795" s="17"/>
      <c r="E795" s="96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7"/>
      <c r="B796" s="17"/>
      <c r="C796" s="17"/>
      <c r="D796" s="17"/>
      <c r="E796" s="96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7"/>
      <c r="B797" s="17"/>
      <c r="C797" s="17"/>
      <c r="D797" s="17"/>
      <c r="E797" s="96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7"/>
      <c r="B798" s="17"/>
      <c r="C798" s="17"/>
      <c r="D798" s="17"/>
      <c r="E798" s="96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7"/>
      <c r="B799" s="17"/>
      <c r="C799" s="17"/>
      <c r="D799" s="17"/>
      <c r="E799" s="96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7"/>
      <c r="B800" s="17"/>
      <c r="C800" s="17"/>
      <c r="D800" s="17"/>
      <c r="E800" s="96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7"/>
      <c r="B801" s="17"/>
      <c r="C801" s="17"/>
      <c r="D801" s="17"/>
      <c r="E801" s="96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7"/>
      <c r="B802" s="17"/>
      <c r="C802" s="17"/>
      <c r="D802" s="17"/>
      <c r="E802" s="96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7"/>
      <c r="B803" s="17"/>
      <c r="C803" s="17"/>
      <c r="D803" s="17"/>
      <c r="E803" s="96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7"/>
      <c r="B804" s="17"/>
      <c r="C804" s="17"/>
      <c r="D804" s="17"/>
      <c r="E804" s="96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7"/>
      <c r="B805" s="17"/>
      <c r="C805" s="17"/>
      <c r="D805" s="17"/>
      <c r="E805" s="96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7"/>
      <c r="B806" s="17"/>
      <c r="C806" s="17"/>
      <c r="D806" s="17"/>
      <c r="E806" s="96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7"/>
      <c r="B807" s="17"/>
      <c r="C807" s="17"/>
      <c r="D807" s="17"/>
      <c r="E807" s="96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7"/>
      <c r="B808" s="17"/>
      <c r="C808" s="17"/>
      <c r="D808" s="17"/>
      <c r="E808" s="96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7"/>
      <c r="B809" s="17"/>
      <c r="C809" s="17"/>
      <c r="D809" s="17"/>
      <c r="E809" s="96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7"/>
      <c r="B810" s="17"/>
      <c r="C810" s="17"/>
      <c r="D810" s="17"/>
      <c r="E810" s="96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7"/>
      <c r="B811" s="17"/>
      <c r="C811" s="17"/>
      <c r="D811" s="17"/>
      <c r="E811" s="96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7"/>
      <c r="B812" s="17"/>
      <c r="C812" s="17"/>
      <c r="D812" s="17"/>
      <c r="E812" s="96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7"/>
      <c r="B813" s="17"/>
      <c r="C813" s="17"/>
      <c r="D813" s="17"/>
      <c r="E813" s="96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7"/>
      <c r="B814" s="17"/>
      <c r="C814" s="17"/>
      <c r="D814" s="17"/>
      <c r="E814" s="96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7"/>
      <c r="B815" s="17"/>
      <c r="C815" s="17"/>
      <c r="D815" s="17"/>
      <c r="E815" s="96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7"/>
      <c r="B816" s="17"/>
      <c r="C816" s="17"/>
      <c r="D816" s="17"/>
      <c r="E816" s="96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7"/>
      <c r="B817" s="17"/>
      <c r="C817" s="17"/>
      <c r="D817" s="17"/>
      <c r="E817" s="96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7"/>
      <c r="B818" s="17"/>
      <c r="C818" s="17"/>
      <c r="D818" s="17"/>
      <c r="E818" s="96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7"/>
      <c r="B819" s="17"/>
      <c r="C819" s="17"/>
      <c r="D819" s="17"/>
      <c r="E819" s="96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7"/>
      <c r="B820" s="17"/>
      <c r="C820" s="17"/>
      <c r="D820" s="17"/>
      <c r="E820" s="96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7"/>
      <c r="B821" s="17"/>
      <c r="C821" s="17"/>
      <c r="D821" s="17"/>
      <c r="E821" s="96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7"/>
      <c r="B822" s="17"/>
      <c r="C822" s="17"/>
      <c r="D822" s="17"/>
      <c r="E822" s="96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7"/>
      <c r="B823" s="17"/>
      <c r="C823" s="17"/>
      <c r="D823" s="17"/>
      <c r="E823" s="96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7"/>
      <c r="B824" s="17"/>
      <c r="C824" s="17"/>
      <c r="D824" s="17"/>
      <c r="E824" s="96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7"/>
      <c r="B825" s="17"/>
      <c r="C825" s="17"/>
      <c r="D825" s="17"/>
      <c r="E825" s="96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7"/>
      <c r="B826" s="17"/>
      <c r="C826" s="17"/>
      <c r="D826" s="17"/>
      <c r="E826" s="96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7"/>
      <c r="B827" s="17"/>
      <c r="C827" s="17"/>
      <c r="D827" s="17"/>
      <c r="E827" s="96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7"/>
      <c r="B828" s="17"/>
      <c r="C828" s="17"/>
      <c r="D828" s="17"/>
      <c r="E828" s="96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7"/>
      <c r="B829" s="17"/>
      <c r="C829" s="17"/>
      <c r="D829" s="17"/>
      <c r="E829" s="96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7"/>
      <c r="B830" s="17"/>
      <c r="C830" s="17"/>
      <c r="D830" s="17"/>
      <c r="E830" s="96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7"/>
      <c r="B831" s="17"/>
      <c r="C831" s="17"/>
      <c r="D831" s="17"/>
      <c r="E831" s="96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7"/>
      <c r="B832" s="17"/>
      <c r="C832" s="17"/>
      <c r="D832" s="17"/>
      <c r="E832" s="96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7"/>
      <c r="B833" s="17"/>
      <c r="C833" s="17"/>
      <c r="D833" s="17"/>
      <c r="E833" s="96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7"/>
      <c r="B834" s="17"/>
      <c r="C834" s="17"/>
      <c r="D834" s="17"/>
      <c r="E834" s="96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7"/>
      <c r="B835" s="17"/>
      <c r="C835" s="17"/>
      <c r="D835" s="17"/>
      <c r="E835" s="96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7"/>
      <c r="B836" s="17"/>
      <c r="C836" s="17"/>
      <c r="D836" s="17"/>
      <c r="E836" s="96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7"/>
      <c r="B837" s="17"/>
      <c r="C837" s="17"/>
      <c r="D837" s="17"/>
      <c r="E837" s="96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7"/>
      <c r="B838" s="17"/>
      <c r="C838" s="17"/>
      <c r="D838" s="17"/>
      <c r="E838" s="96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7"/>
      <c r="B839" s="17"/>
      <c r="C839" s="17"/>
      <c r="D839" s="17"/>
      <c r="E839" s="96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7"/>
      <c r="B840" s="17"/>
      <c r="C840" s="17"/>
      <c r="D840" s="17"/>
      <c r="E840" s="96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7"/>
      <c r="B841" s="17"/>
      <c r="C841" s="17"/>
      <c r="D841" s="17"/>
      <c r="E841" s="96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7"/>
      <c r="B842" s="17"/>
      <c r="C842" s="17"/>
      <c r="D842" s="17"/>
      <c r="E842" s="96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7"/>
      <c r="B843" s="17"/>
      <c r="C843" s="17"/>
      <c r="D843" s="17"/>
      <c r="E843" s="96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7"/>
      <c r="B844" s="17"/>
      <c r="C844" s="17"/>
      <c r="D844" s="17"/>
      <c r="E844" s="96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7"/>
      <c r="B845" s="17"/>
      <c r="C845" s="17"/>
      <c r="D845" s="17"/>
      <c r="E845" s="96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7"/>
      <c r="B846" s="17"/>
      <c r="C846" s="17"/>
      <c r="D846" s="17"/>
      <c r="E846" s="96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7"/>
      <c r="B847" s="17"/>
      <c r="C847" s="17"/>
      <c r="D847" s="17"/>
      <c r="E847" s="96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7"/>
      <c r="B848" s="17"/>
      <c r="C848" s="17"/>
      <c r="D848" s="17"/>
      <c r="E848" s="96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7"/>
      <c r="B849" s="17"/>
      <c r="C849" s="17"/>
      <c r="D849" s="17"/>
      <c r="E849" s="96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7"/>
      <c r="B850" s="17"/>
      <c r="C850" s="17"/>
      <c r="D850" s="17"/>
      <c r="E850" s="96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7"/>
      <c r="B851" s="17"/>
      <c r="C851" s="17"/>
      <c r="D851" s="17"/>
      <c r="E851" s="96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7"/>
      <c r="B852" s="17"/>
      <c r="C852" s="17"/>
      <c r="D852" s="17"/>
      <c r="E852" s="96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7"/>
      <c r="B853" s="17"/>
      <c r="C853" s="17"/>
      <c r="D853" s="17"/>
      <c r="E853" s="96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7"/>
      <c r="B854" s="17"/>
      <c r="C854" s="17"/>
      <c r="D854" s="17"/>
      <c r="E854" s="96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7"/>
      <c r="B855" s="17"/>
      <c r="C855" s="17"/>
      <c r="D855" s="17"/>
      <c r="E855" s="96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7"/>
      <c r="B856" s="17"/>
      <c r="C856" s="17"/>
      <c r="D856" s="17"/>
      <c r="E856" s="96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7"/>
      <c r="B857" s="17"/>
      <c r="C857" s="17"/>
      <c r="D857" s="17"/>
      <c r="E857" s="96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7"/>
      <c r="B858" s="17"/>
      <c r="C858" s="17"/>
      <c r="D858" s="17"/>
      <c r="E858" s="96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7"/>
      <c r="B859" s="17"/>
      <c r="C859" s="17"/>
      <c r="D859" s="17"/>
      <c r="E859" s="96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7"/>
      <c r="B860" s="17"/>
      <c r="C860" s="17"/>
      <c r="D860" s="17"/>
      <c r="E860" s="96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7"/>
      <c r="B861" s="17"/>
      <c r="C861" s="17"/>
      <c r="D861" s="17"/>
      <c r="E861" s="96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7"/>
      <c r="B862" s="17"/>
      <c r="C862" s="17"/>
      <c r="D862" s="17"/>
      <c r="E862" s="96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7"/>
      <c r="B863" s="17"/>
      <c r="C863" s="17"/>
      <c r="D863" s="17"/>
      <c r="E863" s="96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7"/>
      <c r="B864" s="17"/>
      <c r="C864" s="17"/>
      <c r="D864" s="17"/>
      <c r="E864" s="96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7"/>
      <c r="B865" s="17"/>
      <c r="C865" s="17"/>
      <c r="D865" s="17"/>
      <c r="E865" s="96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7"/>
      <c r="B866" s="17"/>
      <c r="C866" s="17"/>
      <c r="D866" s="17"/>
      <c r="E866" s="96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7"/>
      <c r="B867" s="17"/>
      <c r="C867" s="17"/>
      <c r="D867" s="17"/>
      <c r="E867" s="96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7"/>
      <c r="B868" s="17"/>
      <c r="C868" s="17"/>
      <c r="D868" s="17"/>
      <c r="E868" s="96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7"/>
      <c r="B869" s="17"/>
      <c r="C869" s="17"/>
      <c r="D869" s="17"/>
      <c r="E869" s="96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7"/>
      <c r="B870" s="17"/>
      <c r="C870" s="17"/>
      <c r="D870" s="17"/>
      <c r="E870" s="96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7"/>
      <c r="B871" s="17"/>
      <c r="C871" s="17"/>
      <c r="D871" s="17"/>
      <c r="E871" s="96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7"/>
      <c r="B872" s="17"/>
      <c r="C872" s="17"/>
      <c r="D872" s="17"/>
      <c r="E872" s="96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7"/>
      <c r="B873" s="17"/>
      <c r="C873" s="17"/>
      <c r="D873" s="17"/>
      <c r="E873" s="96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7"/>
      <c r="B874" s="17"/>
      <c r="C874" s="17"/>
      <c r="D874" s="17"/>
      <c r="E874" s="96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7"/>
      <c r="B875" s="17"/>
      <c r="C875" s="17"/>
      <c r="D875" s="17"/>
      <c r="E875" s="96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7"/>
      <c r="B876" s="17"/>
      <c r="C876" s="17"/>
      <c r="D876" s="17"/>
      <c r="E876" s="96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7"/>
      <c r="B877" s="17"/>
      <c r="C877" s="17"/>
      <c r="D877" s="17"/>
      <c r="E877" s="96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7"/>
      <c r="B878" s="17"/>
      <c r="C878" s="17"/>
      <c r="D878" s="17"/>
      <c r="E878" s="96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7"/>
      <c r="B879" s="17"/>
      <c r="C879" s="17"/>
      <c r="D879" s="17"/>
      <c r="E879" s="96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7"/>
      <c r="B880" s="17"/>
      <c r="C880" s="17"/>
      <c r="D880" s="17"/>
      <c r="E880" s="96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7"/>
      <c r="B881" s="17"/>
      <c r="C881" s="17"/>
      <c r="D881" s="17"/>
      <c r="E881" s="96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7"/>
      <c r="B882" s="17"/>
      <c r="C882" s="17"/>
      <c r="D882" s="17"/>
      <c r="E882" s="96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7"/>
      <c r="B883" s="17"/>
      <c r="C883" s="17"/>
      <c r="D883" s="17"/>
      <c r="E883" s="96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7"/>
      <c r="B884" s="17"/>
      <c r="C884" s="17"/>
      <c r="D884" s="17"/>
      <c r="E884" s="96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7"/>
      <c r="B885" s="17"/>
      <c r="C885" s="17"/>
      <c r="D885" s="17"/>
      <c r="E885" s="96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7"/>
      <c r="B886" s="17"/>
      <c r="C886" s="17"/>
      <c r="D886" s="17"/>
      <c r="E886" s="96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7"/>
      <c r="B887" s="17"/>
      <c r="C887" s="17"/>
      <c r="D887" s="17"/>
      <c r="E887" s="96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7"/>
      <c r="B888" s="17"/>
      <c r="C888" s="17"/>
      <c r="D888" s="17"/>
      <c r="E888" s="96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7"/>
      <c r="B889" s="17"/>
      <c r="C889" s="17"/>
      <c r="D889" s="17"/>
      <c r="E889" s="96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7"/>
      <c r="B890" s="17"/>
      <c r="C890" s="17"/>
      <c r="D890" s="17"/>
      <c r="E890" s="96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7"/>
      <c r="B891" s="17"/>
      <c r="C891" s="17"/>
      <c r="D891" s="17"/>
      <c r="E891" s="96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7"/>
      <c r="B892" s="17"/>
      <c r="C892" s="17"/>
      <c r="D892" s="17"/>
      <c r="E892" s="96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7"/>
      <c r="B893" s="17"/>
      <c r="C893" s="17"/>
      <c r="D893" s="17"/>
      <c r="E893" s="96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7"/>
      <c r="B894" s="17"/>
      <c r="C894" s="17"/>
      <c r="D894" s="17"/>
      <c r="E894" s="96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7"/>
      <c r="B895" s="17"/>
      <c r="C895" s="17"/>
      <c r="D895" s="17"/>
      <c r="E895" s="96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7"/>
      <c r="B896" s="17"/>
      <c r="C896" s="17"/>
      <c r="D896" s="17"/>
      <c r="E896" s="96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7"/>
      <c r="B897" s="17"/>
      <c r="C897" s="17"/>
      <c r="D897" s="17"/>
      <c r="E897" s="96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7"/>
      <c r="B898" s="17"/>
      <c r="C898" s="17"/>
      <c r="D898" s="17"/>
      <c r="E898" s="96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7"/>
      <c r="B899" s="17"/>
      <c r="C899" s="17"/>
      <c r="D899" s="17"/>
      <c r="E899" s="96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7"/>
      <c r="B900" s="17"/>
      <c r="C900" s="17"/>
      <c r="D900" s="17"/>
      <c r="E900" s="96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7"/>
      <c r="B901" s="17"/>
      <c r="C901" s="17"/>
      <c r="D901" s="17"/>
      <c r="E901" s="96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7"/>
      <c r="B902" s="17"/>
      <c r="C902" s="17"/>
      <c r="D902" s="17"/>
      <c r="E902" s="96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7"/>
      <c r="B903" s="17"/>
      <c r="C903" s="17"/>
      <c r="D903" s="17"/>
      <c r="E903" s="96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7"/>
      <c r="B904" s="17"/>
      <c r="C904" s="17"/>
      <c r="D904" s="17"/>
      <c r="E904" s="96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7"/>
      <c r="B905" s="17"/>
      <c r="C905" s="17"/>
      <c r="D905" s="17"/>
      <c r="E905" s="96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7"/>
      <c r="B906" s="17"/>
      <c r="C906" s="17"/>
      <c r="D906" s="17"/>
      <c r="E906" s="96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7"/>
      <c r="B907" s="17"/>
      <c r="C907" s="17"/>
      <c r="D907" s="17"/>
      <c r="E907" s="96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7"/>
      <c r="B908" s="17"/>
      <c r="C908" s="17"/>
      <c r="D908" s="17"/>
      <c r="E908" s="96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7"/>
      <c r="B909" s="17"/>
      <c r="C909" s="17"/>
      <c r="D909" s="17"/>
      <c r="E909" s="96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7"/>
      <c r="B910" s="17"/>
      <c r="C910" s="17"/>
      <c r="D910" s="17"/>
      <c r="E910" s="96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7"/>
      <c r="B911" s="17"/>
      <c r="C911" s="17"/>
      <c r="D911" s="17"/>
      <c r="E911" s="96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7"/>
      <c r="B912" s="17"/>
      <c r="C912" s="17"/>
      <c r="D912" s="17"/>
      <c r="E912" s="96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7"/>
      <c r="B913" s="17"/>
      <c r="C913" s="17"/>
      <c r="D913" s="17"/>
      <c r="E913" s="96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7"/>
      <c r="B914" s="17"/>
      <c r="C914" s="17"/>
      <c r="D914" s="17"/>
      <c r="E914" s="96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7"/>
      <c r="B915" s="17"/>
      <c r="C915" s="17"/>
      <c r="D915" s="17"/>
      <c r="E915" s="96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7"/>
      <c r="B916" s="17"/>
      <c r="C916" s="17"/>
      <c r="D916" s="17"/>
      <c r="E916" s="96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7"/>
      <c r="B917" s="17"/>
      <c r="C917" s="17"/>
      <c r="D917" s="17"/>
      <c r="E917" s="96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7"/>
      <c r="B918" s="17"/>
      <c r="C918" s="17"/>
      <c r="D918" s="17"/>
      <c r="E918" s="96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7"/>
      <c r="B919" s="17"/>
      <c r="C919" s="17"/>
      <c r="D919" s="17"/>
      <c r="E919" s="96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7"/>
      <c r="B920" s="17"/>
      <c r="C920" s="17"/>
      <c r="D920" s="17"/>
      <c r="E920" s="96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7"/>
      <c r="B921" s="17"/>
      <c r="C921" s="17"/>
      <c r="D921" s="17"/>
      <c r="E921" s="96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7"/>
      <c r="B922" s="17"/>
      <c r="C922" s="17"/>
      <c r="D922" s="17"/>
      <c r="E922" s="96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7"/>
      <c r="B923" s="17"/>
      <c r="C923" s="17"/>
      <c r="D923" s="17"/>
      <c r="E923" s="96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7"/>
      <c r="B924" s="17"/>
      <c r="C924" s="17"/>
      <c r="D924" s="17"/>
      <c r="E924" s="96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7"/>
      <c r="B925" s="17"/>
      <c r="C925" s="17"/>
      <c r="D925" s="17"/>
      <c r="E925" s="96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7"/>
      <c r="B926" s="17"/>
      <c r="C926" s="17"/>
      <c r="D926" s="17"/>
      <c r="E926" s="96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7"/>
      <c r="B927" s="17"/>
      <c r="C927" s="17"/>
      <c r="D927" s="17"/>
      <c r="E927" s="96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7"/>
      <c r="B928" s="17"/>
      <c r="C928" s="17"/>
      <c r="D928" s="17"/>
      <c r="E928" s="96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7"/>
      <c r="B929" s="17"/>
      <c r="C929" s="17"/>
      <c r="D929" s="17"/>
      <c r="E929" s="96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7"/>
      <c r="B930" s="17"/>
      <c r="C930" s="17"/>
      <c r="D930" s="17"/>
      <c r="E930" s="96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7"/>
      <c r="B931" s="17"/>
      <c r="C931" s="17"/>
      <c r="D931" s="17"/>
      <c r="E931" s="96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7"/>
      <c r="B932" s="17"/>
      <c r="C932" s="17"/>
      <c r="D932" s="17"/>
      <c r="E932" s="96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7"/>
      <c r="B933" s="17"/>
      <c r="C933" s="17"/>
      <c r="D933" s="17"/>
      <c r="E933" s="96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7"/>
      <c r="B934" s="17"/>
      <c r="C934" s="17"/>
      <c r="D934" s="17"/>
      <c r="E934" s="96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7"/>
      <c r="B935" s="17"/>
      <c r="C935" s="17"/>
      <c r="D935" s="17"/>
      <c r="E935" s="96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7"/>
      <c r="B936" s="17"/>
      <c r="C936" s="17"/>
      <c r="D936" s="17"/>
      <c r="E936" s="96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7"/>
      <c r="B937" s="17"/>
      <c r="C937" s="17"/>
      <c r="D937" s="17"/>
      <c r="E937" s="96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7"/>
      <c r="B938" s="17"/>
      <c r="C938" s="17"/>
      <c r="D938" s="17"/>
      <c r="E938" s="96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7"/>
      <c r="B939" s="17"/>
      <c r="C939" s="17"/>
      <c r="D939" s="17"/>
      <c r="E939" s="96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7"/>
      <c r="B940" s="17"/>
      <c r="C940" s="17"/>
      <c r="D940" s="17"/>
      <c r="E940" s="96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7"/>
      <c r="B941" s="17"/>
      <c r="C941" s="17"/>
      <c r="D941" s="17"/>
      <c r="E941" s="96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7"/>
      <c r="B942" s="17"/>
      <c r="C942" s="17"/>
      <c r="D942" s="17"/>
      <c r="E942" s="96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7"/>
      <c r="B943" s="17"/>
      <c r="C943" s="17"/>
      <c r="D943" s="17"/>
      <c r="E943" s="96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7"/>
      <c r="B944" s="17"/>
      <c r="C944" s="17"/>
      <c r="D944" s="17"/>
      <c r="E944" s="96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7"/>
      <c r="B945" s="17"/>
      <c r="C945" s="17"/>
      <c r="D945" s="17"/>
      <c r="E945" s="96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7"/>
      <c r="B946" s="17"/>
      <c r="C946" s="17"/>
      <c r="D946" s="17"/>
      <c r="E946" s="96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7"/>
      <c r="B947" s="17"/>
      <c r="C947" s="17"/>
      <c r="D947" s="17"/>
      <c r="E947" s="96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7"/>
      <c r="B948" s="17"/>
      <c r="C948" s="17"/>
      <c r="D948" s="17"/>
      <c r="E948" s="96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7"/>
      <c r="B949" s="17"/>
      <c r="C949" s="17"/>
      <c r="D949" s="17"/>
      <c r="E949" s="96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7"/>
      <c r="B950" s="17"/>
      <c r="C950" s="17"/>
      <c r="D950" s="17"/>
      <c r="E950" s="96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7"/>
      <c r="B951" s="17"/>
      <c r="C951" s="17"/>
      <c r="D951" s="17"/>
      <c r="E951" s="96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7"/>
      <c r="B952" s="17"/>
      <c r="C952" s="17"/>
      <c r="D952" s="17"/>
      <c r="E952" s="96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7"/>
      <c r="B953" s="17"/>
      <c r="C953" s="17"/>
      <c r="D953" s="17"/>
      <c r="E953" s="96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7"/>
      <c r="B954" s="17"/>
      <c r="C954" s="17"/>
      <c r="D954" s="17"/>
      <c r="E954" s="96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7"/>
      <c r="B955" s="17"/>
      <c r="C955" s="17"/>
      <c r="D955" s="17"/>
      <c r="E955" s="96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7"/>
      <c r="B956" s="17"/>
      <c r="C956" s="17"/>
      <c r="D956" s="17"/>
      <c r="E956" s="96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7"/>
      <c r="B957" s="17"/>
      <c r="C957" s="17"/>
      <c r="D957" s="17"/>
      <c r="E957" s="96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7"/>
      <c r="B958" s="17"/>
      <c r="C958" s="17"/>
      <c r="D958" s="17"/>
      <c r="E958" s="96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7"/>
      <c r="B959" s="17"/>
      <c r="C959" s="17"/>
      <c r="D959" s="17"/>
      <c r="E959" s="96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7"/>
      <c r="B960" s="17"/>
      <c r="C960" s="17"/>
      <c r="D960" s="17"/>
      <c r="E960" s="96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7"/>
      <c r="B961" s="17"/>
      <c r="C961" s="17"/>
      <c r="D961" s="17"/>
      <c r="E961" s="96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7"/>
      <c r="B962" s="17"/>
      <c r="C962" s="17"/>
      <c r="D962" s="17"/>
      <c r="E962" s="96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7"/>
      <c r="B963" s="17"/>
      <c r="C963" s="17"/>
      <c r="D963" s="17"/>
      <c r="E963" s="96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7"/>
      <c r="B964" s="17"/>
      <c r="C964" s="17"/>
      <c r="D964" s="17"/>
      <c r="E964" s="96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7"/>
      <c r="B965" s="17"/>
      <c r="C965" s="17"/>
      <c r="D965" s="17"/>
      <c r="E965" s="96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7"/>
      <c r="B966" s="17"/>
      <c r="C966" s="17"/>
      <c r="D966" s="17"/>
      <c r="E966" s="96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7"/>
      <c r="B967" s="17"/>
      <c r="C967" s="17"/>
      <c r="D967" s="17"/>
      <c r="E967" s="96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7"/>
      <c r="B968" s="17"/>
      <c r="C968" s="17"/>
      <c r="D968" s="17"/>
      <c r="E968" s="96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7"/>
      <c r="B969" s="17"/>
      <c r="C969" s="17"/>
      <c r="D969" s="17"/>
      <c r="E969" s="96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7"/>
      <c r="B970" s="17"/>
      <c r="C970" s="17"/>
      <c r="D970" s="17"/>
      <c r="E970" s="96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7"/>
      <c r="B971" s="17"/>
      <c r="C971" s="17"/>
      <c r="D971" s="17"/>
      <c r="E971" s="96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7"/>
      <c r="B972" s="17"/>
      <c r="C972" s="17"/>
      <c r="D972" s="17"/>
      <c r="E972" s="96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7"/>
      <c r="B973" s="17"/>
      <c r="C973" s="17"/>
      <c r="D973" s="17"/>
      <c r="E973" s="96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7"/>
      <c r="B974" s="17"/>
      <c r="C974" s="17"/>
      <c r="D974" s="17"/>
      <c r="E974" s="96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7"/>
      <c r="B975" s="17"/>
      <c r="C975" s="17"/>
      <c r="D975" s="17"/>
      <c r="E975" s="96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7"/>
      <c r="B976" s="17"/>
      <c r="C976" s="17"/>
      <c r="D976" s="17"/>
      <c r="E976" s="96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7"/>
      <c r="B977" s="17"/>
      <c r="C977" s="17"/>
      <c r="D977" s="17"/>
      <c r="E977" s="96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7"/>
      <c r="B978" s="17"/>
      <c r="C978" s="17"/>
      <c r="D978" s="17"/>
      <c r="E978" s="96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7"/>
      <c r="B979" s="17"/>
      <c r="C979" s="17"/>
      <c r="D979" s="17"/>
      <c r="E979" s="96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7"/>
      <c r="B980" s="17"/>
      <c r="C980" s="17"/>
      <c r="D980" s="17"/>
      <c r="E980" s="96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7"/>
      <c r="B981" s="17"/>
      <c r="C981" s="17"/>
      <c r="D981" s="17"/>
      <c r="E981" s="96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7"/>
      <c r="B982" s="17"/>
      <c r="C982" s="17"/>
      <c r="D982" s="17"/>
      <c r="E982" s="96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7"/>
      <c r="B983" s="17"/>
      <c r="C983" s="17"/>
      <c r="D983" s="17"/>
      <c r="E983" s="96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7"/>
      <c r="B984" s="17"/>
      <c r="C984" s="17"/>
      <c r="D984" s="17"/>
      <c r="E984" s="96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7"/>
      <c r="B985" s="17"/>
      <c r="C985" s="17"/>
      <c r="D985" s="17"/>
      <c r="E985" s="96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7"/>
      <c r="B986" s="17"/>
      <c r="C986" s="17"/>
      <c r="D986" s="17"/>
      <c r="E986" s="96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7"/>
      <c r="B987" s="17"/>
      <c r="C987" s="17"/>
      <c r="D987" s="17"/>
      <c r="E987" s="96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7"/>
      <c r="B988" s="17"/>
      <c r="C988" s="17"/>
      <c r="D988" s="17"/>
      <c r="E988" s="96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7"/>
      <c r="B989" s="17"/>
      <c r="C989" s="17"/>
      <c r="D989" s="17"/>
      <c r="E989" s="96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7"/>
      <c r="B990" s="17"/>
      <c r="C990" s="17"/>
      <c r="D990" s="17"/>
      <c r="E990" s="96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7"/>
      <c r="B991" s="17"/>
      <c r="C991" s="17"/>
      <c r="D991" s="17"/>
      <c r="E991" s="96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7"/>
      <c r="B992" s="17"/>
      <c r="C992" s="17"/>
      <c r="D992" s="17"/>
      <c r="E992" s="96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7"/>
      <c r="B993" s="17"/>
      <c r="C993" s="17"/>
      <c r="D993" s="17"/>
      <c r="E993" s="96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7"/>
      <c r="B994" s="17"/>
      <c r="C994" s="17"/>
      <c r="D994" s="17"/>
      <c r="E994" s="96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7"/>
      <c r="B995" s="17"/>
      <c r="C995" s="17"/>
      <c r="D995" s="17"/>
      <c r="E995" s="96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7"/>
      <c r="B996" s="17"/>
      <c r="C996" s="17"/>
      <c r="D996" s="17"/>
      <c r="E996" s="96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7"/>
      <c r="B997" s="17"/>
      <c r="C997" s="17"/>
      <c r="D997" s="17"/>
      <c r="E997" s="96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7"/>
      <c r="B998" s="17"/>
      <c r="C998" s="17"/>
      <c r="D998" s="17"/>
      <c r="E998" s="96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7"/>
      <c r="B999" s="17"/>
      <c r="C999" s="17"/>
      <c r="D999" s="17"/>
      <c r="E999" s="96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7"/>
      <c r="B1000" s="17"/>
      <c r="C1000" s="17"/>
      <c r="D1000" s="17"/>
      <c r="E1000" s="96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mergeCells count="2">
    <mergeCell ref="M1:N1"/>
    <mergeCell ref="A3:C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19" t="s">
        <v>14</v>
      </c>
      <c r="B1" s="119" t="s">
        <v>499</v>
      </c>
      <c r="C1" s="120" t="s">
        <v>500</v>
      </c>
      <c r="D1" s="121" t="s">
        <v>501</v>
      </c>
      <c r="E1" s="122" t="s">
        <v>502</v>
      </c>
      <c r="F1" s="121" t="s">
        <v>503</v>
      </c>
      <c r="I1" s="123"/>
    </row>
    <row r="2">
      <c r="A2" s="123">
        <v>1.0</v>
      </c>
      <c r="B2" s="124" t="s">
        <v>505</v>
      </c>
      <c r="C2" s="125">
        <v>19.0</v>
      </c>
      <c r="D2" s="126">
        <v>23.75</v>
      </c>
      <c r="E2" s="127">
        <v>0.18</v>
      </c>
      <c r="F2" s="126">
        <v>28.025</v>
      </c>
    </row>
    <row r="3">
      <c r="A3" s="123">
        <v>2.0</v>
      </c>
      <c r="B3" s="124" t="s">
        <v>506</v>
      </c>
      <c r="C3" s="125">
        <v>13.0</v>
      </c>
      <c r="D3" s="126">
        <v>16.25</v>
      </c>
      <c r="E3" s="127">
        <v>0.18</v>
      </c>
      <c r="F3" s="126">
        <v>19.175</v>
      </c>
    </row>
    <row r="4">
      <c r="A4" s="123">
        <v>3.0</v>
      </c>
      <c r="B4" s="124" t="s">
        <v>507</v>
      </c>
      <c r="C4" s="125">
        <v>19.0</v>
      </c>
      <c r="D4" s="126">
        <v>23.75</v>
      </c>
      <c r="E4" s="127">
        <v>0.15</v>
      </c>
      <c r="F4" s="126">
        <v>27.3125</v>
      </c>
    </row>
    <row r="5">
      <c r="A5" s="123">
        <v>4.0</v>
      </c>
      <c r="B5" s="124" t="s">
        <v>508</v>
      </c>
      <c r="C5" s="125">
        <v>18.0</v>
      </c>
      <c r="D5" s="126">
        <v>22.5</v>
      </c>
      <c r="E5" s="127">
        <v>0.18</v>
      </c>
      <c r="F5" s="126">
        <v>26.55</v>
      </c>
    </row>
    <row r="6">
      <c r="A6" s="123">
        <v>5.0</v>
      </c>
      <c r="B6" s="124" t="s">
        <v>509</v>
      </c>
      <c r="C6" s="125">
        <v>16.0</v>
      </c>
      <c r="D6" s="126">
        <v>20.0</v>
      </c>
      <c r="E6" s="127">
        <v>0.18</v>
      </c>
      <c r="F6" s="126">
        <v>23.6</v>
      </c>
    </row>
    <row r="7">
      <c r="A7" s="123">
        <v>6.0</v>
      </c>
      <c r="B7" s="124" t="s">
        <v>510</v>
      </c>
      <c r="C7" s="125">
        <v>18.0</v>
      </c>
      <c r="D7" s="126">
        <v>22.5</v>
      </c>
      <c r="E7" s="127">
        <v>0.15</v>
      </c>
      <c r="F7" s="126">
        <v>25.875</v>
      </c>
    </row>
    <row r="8">
      <c r="A8" s="123">
        <v>7.0</v>
      </c>
      <c r="B8" s="124" t="s">
        <v>511</v>
      </c>
      <c r="C8" s="125">
        <v>13.0</v>
      </c>
      <c r="D8" s="126">
        <v>16.25</v>
      </c>
      <c r="E8" s="127">
        <v>0.18</v>
      </c>
      <c r="F8" s="126">
        <v>19.175</v>
      </c>
      <c r="K8" s="128"/>
    </row>
    <row r="9">
      <c r="A9" s="123">
        <v>8.0</v>
      </c>
      <c r="B9" s="124" t="s">
        <v>512</v>
      </c>
      <c r="C9" s="125">
        <v>12.0</v>
      </c>
      <c r="D9" s="126">
        <v>15.0</v>
      </c>
      <c r="E9" s="127">
        <v>0.18</v>
      </c>
      <c r="F9" s="126">
        <v>17.7</v>
      </c>
      <c r="K9" s="128"/>
    </row>
    <row r="10">
      <c r="A10" s="123">
        <v>9.0</v>
      </c>
      <c r="B10" s="124" t="s">
        <v>513</v>
      </c>
      <c r="C10" s="125">
        <v>7.0</v>
      </c>
      <c r="D10" s="126">
        <v>8.75</v>
      </c>
      <c r="E10" s="127">
        <v>0.15</v>
      </c>
      <c r="F10" s="126">
        <v>10.0625</v>
      </c>
      <c r="K10" s="128"/>
    </row>
    <row r="11">
      <c r="A11" s="123">
        <v>10.0</v>
      </c>
      <c r="B11" s="124" t="s">
        <v>514</v>
      </c>
      <c r="C11" s="125">
        <v>8.0</v>
      </c>
      <c r="D11" s="126">
        <v>10.0</v>
      </c>
      <c r="E11" s="127">
        <v>0.15</v>
      </c>
      <c r="F11" s="126">
        <v>11.5</v>
      </c>
      <c r="K11" s="128"/>
    </row>
    <row r="12">
      <c r="A12" s="123">
        <v>11.0</v>
      </c>
      <c r="B12" s="124" t="s">
        <v>518</v>
      </c>
      <c r="C12" s="125">
        <v>7.0</v>
      </c>
      <c r="D12" s="126">
        <v>8.75</v>
      </c>
      <c r="E12" s="127">
        <v>0.15</v>
      </c>
      <c r="F12" s="126">
        <v>10.0625</v>
      </c>
      <c r="K12" s="128"/>
    </row>
    <row r="13">
      <c r="A13" s="123">
        <v>12.0</v>
      </c>
      <c r="B13" s="124" t="s">
        <v>519</v>
      </c>
      <c r="C13" s="125">
        <v>5.0</v>
      </c>
      <c r="D13" s="126">
        <v>6.25</v>
      </c>
      <c r="E13" s="127">
        <v>0.15</v>
      </c>
      <c r="F13" s="126">
        <v>7.1875</v>
      </c>
      <c r="K13" s="128"/>
    </row>
    <row r="14">
      <c r="A14" s="123">
        <v>13.0</v>
      </c>
      <c r="B14" s="124" t="s">
        <v>520</v>
      </c>
      <c r="C14" s="125">
        <v>13.0</v>
      </c>
      <c r="D14" s="126">
        <v>16.25</v>
      </c>
      <c r="E14" s="127">
        <v>0.15</v>
      </c>
      <c r="F14" s="126">
        <v>18.6875</v>
      </c>
      <c r="H14" s="129"/>
    </row>
    <row r="15">
      <c r="A15" s="123">
        <v>14.0</v>
      </c>
      <c r="B15" s="124" t="s">
        <v>521</v>
      </c>
      <c r="C15" s="125">
        <v>16.0</v>
      </c>
      <c r="D15" s="126">
        <v>20.0</v>
      </c>
      <c r="E15" s="127">
        <v>0.15</v>
      </c>
      <c r="F15" s="126">
        <v>23.0</v>
      </c>
      <c r="H15" s="129"/>
    </row>
    <row r="16">
      <c r="A16" s="123">
        <v>15.0</v>
      </c>
      <c r="B16" s="124" t="s">
        <v>522</v>
      </c>
      <c r="C16" s="125">
        <v>9.0</v>
      </c>
      <c r="D16" s="126">
        <v>11.25</v>
      </c>
      <c r="E16" s="127">
        <v>0.15</v>
      </c>
      <c r="F16" s="126">
        <v>12.9375</v>
      </c>
      <c r="H16" s="129"/>
    </row>
    <row r="17">
      <c r="A17" s="123">
        <v>16.0</v>
      </c>
      <c r="B17" s="124" t="s">
        <v>523</v>
      </c>
      <c r="C17" s="125">
        <v>18.0</v>
      </c>
      <c r="D17" s="126">
        <v>22.5</v>
      </c>
      <c r="E17" s="127">
        <v>0.15</v>
      </c>
      <c r="F17" s="126">
        <v>25.875</v>
      </c>
      <c r="H17" s="129"/>
    </row>
    <row r="18">
      <c r="A18" s="123">
        <v>17.0</v>
      </c>
      <c r="B18" s="124" t="s">
        <v>524</v>
      </c>
      <c r="C18" s="125">
        <v>14.0</v>
      </c>
      <c r="D18" s="126">
        <v>17.5</v>
      </c>
      <c r="E18" s="127">
        <v>0.18</v>
      </c>
      <c r="F18" s="126">
        <v>20.65</v>
      </c>
      <c r="H18" s="129"/>
    </row>
    <row r="19">
      <c r="A19" s="123">
        <v>18.0</v>
      </c>
      <c r="B19" s="124" t="s">
        <v>525</v>
      </c>
      <c r="C19" s="125">
        <v>20.0</v>
      </c>
      <c r="D19" s="126">
        <v>25.0</v>
      </c>
      <c r="E19" s="127">
        <v>0.18</v>
      </c>
      <c r="F19" s="126">
        <v>29.5</v>
      </c>
      <c r="H19" s="129"/>
    </row>
    <row r="20">
      <c r="A20" s="123">
        <v>19.0</v>
      </c>
      <c r="B20" s="124" t="s">
        <v>526</v>
      </c>
      <c r="C20" s="125">
        <v>13.0</v>
      </c>
      <c r="D20" s="126">
        <v>16.25</v>
      </c>
      <c r="E20" s="127">
        <v>0.18</v>
      </c>
      <c r="F20" s="126">
        <v>19.175</v>
      </c>
      <c r="H20" s="129"/>
    </row>
    <row r="21">
      <c r="A21" s="123">
        <v>20.0</v>
      </c>
      <c r="B21" s="124" t="s">
        <v>527</v>
      </c>
      <c r="C21" s="125">
        <v>11.0</v>
      </c>
      <c r="D21" s="126">
        <v>13.75</v>
      </c>
      <c r="E21" s="127">
        <v>0.18</v>
      </c>
      <c r="F21" s="126">
        <v>16.225</v>
      </c>
      <c r="H21" s="129"/>
    </row>
    <row r="22">
      <c r="A22" s="123">
        <v>21.0</v>
      </c>
      <c r="B22" s="124" t="s">
        <v>528</v>
      </c>
      <c r="C22" s="125">
        <v>6.0</v>
      </c>
      <c r="D22" s="126">
        <v>7.5</v>
      </c>
      <c r="E22" s="127">
        <v>0.15</v>
      </c>
      <c r="F22" s="126">
        <v>8.625</v>
      </c>
      <c r="H22" s="129"/>
    </row>
    <row r="23">
      <c r="A23" s="123">
        <v>22.0</v>
      </c>
      <c r="B23" s="124" t="s">
        <v>529</v>
      </c>
      <c r="C23" s="125">
        <v>12.0</v>
      </c>
      <c r="D23" s="126">
        <v>15.0</v>
      </c>
      <c r="E23" s="127">
        <v>0.15</v>
      </c>
      <c r="F23" s="126">
        <v>17.25</v>
      </c>
    </row>
    <row r="24">
      <c r="A24" s="123">
        <v>23.0</v>
      </c>
      <c r="B24" s="124" t="s">
        <v>530</v>
      </c>
      <c r="C24" s="125">
        <v>4.0</v>
      </c>
      <c r="D24" s="126">
        <v>5.0</v>
      </c>
      <c r="E24" s="127">
        <v>0.15</v>
      </c>
      <c r="F24" s="126">
        <v>5.75</v>
      </c>
    </row>
    <row r="25">
      <c r="A25" s="123">
        <v>24.0</v>
      </c>
      <c r="B25" s="124" t="s">
        <v>531</v>
      </c>
      <c r="C25" s="125">
        <v>9.0</v>
      </c>
      <c r="D25" s="126">
        <v>11.25</v>
      </c>
      <c r="E25" s="127">
        <v>0.15</v>
      </c>
      <c r="F25" s="126">
        <v>12.9375</v>
      </c>
    </row>
    <row r="26">
      <c r="A26" s="123">
        <v>25.0</v>
      </c>
      <c r="B26" s="124" t="s">
        <v>532</v>
      </c>
      <c r="C26" s="125">
        <v>16.0</v>
      </c>
      <c r="D26" s="126">
        <v>20.0</v>
      </c>
      <c r="E26" s="127">
        <v>0.15</v>
      </c>
      <c r="F26" s="126">
        <v>23.0</v>
      </c>
    </row>
    <row r="27">
      <c r="A27" s="123">
        <v>26.0</v>
      </c>
      <c r="B27" s="124" t="s">
        <v>533</v>
      </c>
      <c r="C27" s="125">
        <v>14.0</v>
      </c>
      <c r="D27" s="126">
        <v>17.5</v>
      </c>
      <c r="E27" s="127">
        <v>0.15</v>
      </c>
      <c r="F27" s="126">
        <v>20.125</v>
      </c>
    </row>
    <row r="28">
      <c r="A28" s="123">
        <v>27.0</v>
      </c>
      <c r="B28" s="124" t="s">
        <v>534</v>
      </c>
      <c r="C28" s="125">
        <v>5.0</v>
      </c>
      <c r="D28" s="126">
        <v>6.25</v>
      </c>
      <c r="E28" s="127">
        <v>0.18</v>
      </c>
      <c r="F28" s="126">
        <v>7.375</v>
      </c>
    </row>
    <row r="29">
      <c r="A29" s="123">
        <v>28.0</v>
      </c>
      <c r="B29" s="124" t="s">
        <v>535</v>
      </c>
      <c r="C29" s="125">
        <v>8.0</v>
      </c>
      <c r="D29" s="126">
        <v>10.0</v>
      </c>
      <c r="E29" s="127">
        <v>0.18</v>
      </c>
      <c r="F29" s="126">
        <v>11.8</v>
      </c>
    </row>
    <row r="30">
      <c r="A30" s="123">
        <v>29.0</v>
      </c>
      <c r="B30" s="124" t="s">
        <v>536</v>
      </c>
      <c r="C30" s="125">
        <v>5.0</v>
      </c>
      <c r="D30" s="126">
        <v>6.25</v>
      </c>
      <c r="E30" s="127">
        <v>0.15</v>
      </c>
      <c r="F30" s="126">
        <v>7.1875</v>
      </c>
      <c r="I30" s="124"/>
    </row>
    <row r="31">
      <c r="A31" s="123">
        <v>30.0</v>
      </c>
      <c r="B31" s="124" t="s">
        <v>537</v>
      </c>
      <c r="C31" s="125">
        <v>19.0</v>
      </c>
      <c r="D31" s="126">
        <v>23.75</v>
      </c>
      <c r="E31" s="127">
        <v>0.15</v>
      </c>
      <c r="F31" s="126">
        <v>27.3125</v>
      </c>
      <c r="I31" s="124"/>
    </row>
    <row r="32">
      <c r="A32" s="123">
        <v>31.0</v>
      </c>
      <c r="B32" s="124" t="s">
        <v>538</v>
      </c>
      <c r="C32" s="125">
        <v>17.0</v>
      </c>
      <c r="D32" s="126">
        <v>21.25</v>
      </c>
      <c r="E32" s="127">
        <v>0.18</v>
      </c>
      <c r="F32" s="126">
        <v>25.075</v>
      </c>
      <c r="I32" s="124"/>
    </row>
    <row r="33">
      <c r="A33" s="123">
        <v>32.0</v>
      </c>
      <c r="B33" s="124" t="s">
        <v>539</v>
      </c>
      <c r="C33" s="125">
        <v>15.0</v>
      </c>
      <c r="D33" s="126">
        <v>18.75</v>
      </c>
      <c r="E33" s="127">
        <v>0.15</v>
      </c>
      <c r="F33" s="126">
        <v>21.5625</v>
      </c>
      <c r="I33" s="124"/>
    </row>
    <row r="34">
      <c r="A34" s="123">
        <v>33.0</v>
      </c>
      <c r="B34" s="124" t="s">
        <v>540</v>
      </c>
      <c r="C34" s="125">
        <v>17.0</v>
      </c>
      <c r="D34" s="126">
        <v>21.25</v>
      </c>
      <c r="E34" s="127">
        <v>0.18</v>
      </c>
      <c r="F34" s="126">
        <v>25.075</v>
      </c>
      <c r="I34" s="124"/>
    </row>
    <row r="35">
      <c r="A35" s="123">
        <v>34.0</v>
      </c>
      <c r="B35" s="124" t="s">
        <v>541</v>
      </c>
      <c r="C35" s="125">
        <v>11.0</v>
      </c>
      <c r="D35" s="126">
        <v>13.75</v>
      </c>
      <c r="E35" s="127">
        <v>0.15</v>
      </c>
      <c r="F35" s="126">
        <v>15.8125</v>
      </c>
      <c r="I35" s="124"/>
    </row>
    <row r="36">
      <c r="A36" s="123">
        <v>35.0</v>
      </c>
      <c r="B36" s="124" t="s">
        <v>542</v>
      </c>
      <c r="C36" s="125">
        <v>15.0</v>
      </c>
      <c r="D36" s="126">
        <v>18.75</v>
      </c>
      <c r="E36" s="127">
        <v>0.15</v>
      </c>
      <c r="F36" s="126">
        <v>21.5625</v>
      </c>
      <c r="I36" s="124"/>
    </row>
    <row r="37">
      <c r="A37" s="123">
        <v>36.0</v>
      </c>
      <c r="B37" s="124" t="s">
        <v>543</v>
      </c>
      <c r="C37" s="125">
        <v>10.0</v>
      </c>
      <c r="D37" s="126">
        <v>12.5</v>
      </c>
      <c r="E37" s="127">
        <v>0.15</v>
      </c>
      <c r="F37" s="126">
        <v>14.375</v>
      </c>
      <c r="I37" s="124"/>
    </row>
    <row r="38">
      <c r="A38" s="123">
        <v>37.0</v>
      </c>
      <c r="B38" s="124" t="s">
        <v>544</v>
      </c>
      <c r="C38" s="125">
        <v>9.0</v>
      </c>
      <c r="D38" s="126">
        <v>11.25</v>
      </c>
      <c r="E38" s="127">
        <v>0.18</v>
      </c>
      <c r="F38" s="126">
        <v>13.275</v>
      </c>
      <c r="I38" s="124"/>
    </row>
    <row r="39">
      <c r="A39" s="123">
        <v>38.0</v>
      </c>
      <c r="B39" s="124" t="s">
        <v>545</v>
      </c>
      <c r="C39" s="125">
        <v>7.0</v>
      </c>
      <c r="D39" s="126">
        <v>8.75</v>
      </c>
      <c r="E39" s="127">
        <v>0.18</v>
      </c>
      <c r="F39" s="126">
        <v>10.325</v>
      </c>
      <c r="I39" s="124"/>
    </row>
    <row r="40">
      <c r="A40" s="123">
        <v>39.0</v>
      </c>
      <c r="B40" s="124" t="s">
        <v>546</v>
      </c>
      <c r="C40" s="125">
        <v>4.0</v>
      </c>
      <c r="D40" s="126">
        <v>5.0</v>
      </c>
      <c r="E40" s="127">
        <v>0.15</v>
      </c>
      <c r="F40" s="126">
        <v>5.75</v>
      </c>
    </row>
    <row r="41">
      <c r="A41" s="123">
        <v>40.0</v>
      </c>
      <c r="B41" s="124" t="s">
        <v>547</v>
      </c>
      <c r="C41" s="125">
        <v>4.0</v>
      </c>
      <c r="D41" s="126">
        <v>5.0</v>
      </c>
      <c r="E41" s="127">
        <v>0.18</v>
      </c>
      <c r="F41" s="126">
        <v>5.9</v>
      </c>
    </row>
    <row r="42">
      <c r="A42" s="123">
        <v>41.0</v>
      </c>
      <c r="B42" s="124" t="s">
        <v>548</v>
      </c>
      <c r="C42" s="125">
        <v>14.0</v>
      </c>
      <c r="D42" s="126">
        <v>17.5</v>
      </c>
      <c r="E42" s="127">
        <v>0.15</v>
      </c>
      <c r="F42" s="126">
        <v>20.125</v>
      </c>
    </row>
    <row r="43">
      <c r="A43" s="123">
        <v>42.0</v>
      </c>
      <c r="B43" s="124" t="s">
        <v>549</v>
      </c>
      <c r="C43" s="125">
        <v>12.0</v>
      </c>
      <c r="D43" s="126">
        <v>15.0</v>
      </c>
      <c r="E43" s="127">
        <v>0.15</v>
      </c>
      <c r="F43" s="126">
        <v>17.25</v>
      </c>
    </row>
    <row r="44">
      <c r="A44" s="123">
        <v>43.0</v>
      </c>
      <c r="B44" s="124" t="s">
        <v>550</v>
      </c>
      <c r="C44" s="125">
        <v>15.0</v>
      </c>
      <c r="D44" s="126">
        <v>18.75</v>
      </c>
      <c r="E44" s="127">
        <v>0.18</v>
      </c>
      <c r="F44" s="126">
        <v>22.125</v>
      </c>
    </row>
    <row r="45">
      <c r="A45" s="123">
        <v>44.0</v>
      </c>
      <c r="B45" s="124" t="s">
        <v>551</v>
      </c>
      <c r="C45" s="125">
        <v>18.0</v>
      </c>
      <c r="D45" s="126">
        <v>22.5</v>
      </c>
      <c r="E45" s="127">
        <v>0.18</v>
      </c>
      <c r="F45" s="126">
        <v>26.55</v>
      </c>
    </row>
    <row r="46">
      <c r="A46" s="123">
        <v>45.0</v>
      </c>
      <c r="B46" s="124" t="s">
        <v>552</v>
      </c>
      <c r="C46" s="125">
        <v>8.0</v>
      </c>
      <c r="D46" s="126">
        <v>10.0</v>
      </c>
      <c r="E46" s="127">
        <v>0.15</v>
      </c>
      <c r="F46" s="126">
        <v>11.5</v>
      </c>
    </row>
    <row r="47">
      <c r="A47" s="123">
        <v>46.0</v>
      </c>
      <c r="B47" s="124" t="s">
        <v>553</v>
      </c>
      <c r="C47" s="125">
        <v>12.0</v>
      </c>
      <c r="D47" s="126">
        <v>15.0</v>
      </c>
      <c r="E47" s="127">
        <v>0.15</v>
      </c>
      <c r="F47" s="126">
        <v>17.25</v>
      </c>
    </row>
    <row r="48">
      <c r="A48" s="123">
        <v>47.0</v>
      </c>
      <c r="B48" s="124" t="s">
        <v>554</v>
      </c>
      <c r="C48" s="125">
        <v>16.0</v>
      </c>
      <c r="D48" s="126">
        <v>20.0</v>
      </c>
      <c r="E48" s="127">
        <v>0.18</v>
      </c>
      <c r="F48" s="126">
        <v>23.6</v>
      </c>
    </row>
    <row r="49">
      <c r="A49" s="123">
        <v>48.0</v>
      </c>
      <c r="B49" s="124" t="s">
        <v>555</v>
      </c>
      <c r="C49" s="125">
        <v>13.0</v>
      </c>
      <c r="D49" s="126">
        <v>16.25</v>
      </c>
      <c r="E49" s="127">
        <v>0.18</v>
      </c>
      <c r="F49" s="126">
        <v>19.175</v>
      </c>
    </row>
    <row r="50">
      <c r="A50" s="123">
        <v>49.0</v>
      </c>
      <c r="B50" s="124" t="s">
        <v>556</v>
      </c>
      <c r="C50" s="125">
        <v>5.0</v>
      </c>
      <c r="D50" s="126">
        <v>6.25</v>
      </c>
      <c r="E50" s="127">
        <v>0.18</v>
      </c>
      <c r="F50" s="126">
        <v>7.375</v>
      </c>
    </row>
    <row r="51">
      <c r="A51" s="123">
        <v>50.0</v>
      </c>
      <c r="B51" s="124" t="s">
        <v>557</v>
      </c>
      <c r="C51" s="125">
        <v>15.0</v>
      </c>
      <c r="D51" s="126">
        <v>18.75</v>
      </c>
      <c r="E51" s="127">
        <v>0.18</v>
      </c>
      <c r="F51" s="126">
        <v>22.125</v>
      </c>
    </row>
    <row r="52">
      <c r="A52" s="123">
        <v>51.0</v>
      </c>
      <c r="B52" s="124" t="s">
        <v>558</v>
      </c>
      <c r="C52" s="125">
        <v>8.0</v>
      </c>
      <c r="D52" s="126">
        <v>10.0</v>
      </c>
      <c r="E52" s="127">
        <v>0.15</v>
      </c>
      <c r="F52" s="126">
        <v>11.5</v>
      </c>
    </row>
    <row r="53">
      <c r="A53" s="123">
        <v>52.0</v>
      </c>
      <c r="B53" s="124" t="s">
        <v>559</v>
      </c>
      <c r="C53" s="125">
        <v>12.0</v>
      </c>
      <c r="D53" s="126">
        <v>15.0</v>
      </c>
      <c r="E53" s="127">
        <v>0.18</v>
      </c>
      <c r="F53" s="126">
        <v>17.7</v>
      </c>
    </row>
    <row r="54">
      <c r="A54" s="123">
        <v>53.0</v>
      </c>
      <c r="B54" s="124" t="s">
        <v>560</v>
      </c>
      <c r="C54" s="125">
        <v>7.0</v>
      </c>
      <c r="D54" s="126">
        <v>8.75</v>
      </c>
      <c r="E54" s="127">
        <v>0.15</v>
      </c>
      <c r="F54" s="126">
        <v>10.0625</v>
      </c>
    </row>
    <row r="55">
      <c r="A55" s="123">
        <v>54.0</v>
      </c>
      <c r="B55" s="124" t="s">
        <v>561</v>
      </c>
      <c r="C55" s="125">
        <v>5.0</v>
      </c>
      <c r="D55" s="126">
        <v>6.25</v>
      </c>
      <c r="E55" s="127">
        <v>0.18</v>
      </c>
      <c r="F55" s="126">
        <v>7.375</v>
      </c>
    </row>
    <row r="56">
      <c r="A56" s="123">
        <v>55.0</v>
      </c>
      <c r="B56" s="124" t="s">
        <v>562</v>
      </c>
      <c r="C56" s="125">
        <v>16.0</v>
      </c>
      <c r="D56" s="126">
        <v>20.0</v>
      </c>
      <c r="E56" s="127">
        <v>0.15</v>
      </c>
      <c r="F56" s="126">
        <v>23.0</v>
      </c>
    </row>
    <row r="57">
      <c r="A57" s="123">
        <v>56.0</v>
      </c>
      <c r="B57" s="124" t="s">
        <v>563</v>
      </c>
      <c r="C57" s="125">
        <v>20.0</v>
      </c>
      <c r="D57" s="126">
        <v>25.0</v>
      </c>
      <c r="E57" s="127">
        <v>0.18</v>
      </c>
      <c r="F57" s="126">
        <v>29.5</v>
      </c>
    </row>
    <row r="58">
      <c r="A58" s="123">
        <v>57.0</v>
      </c>
      <c r="B58" s="124" t="s">
        <v>564</v>
      </c>
      <c r="C58" s="125">
        <v>9.0</v>
      </c>
      <c r="D58" s="126">
        <v>11.25</v>
      </c>
      <c r="E58" s="127">
        <v>0.15</v>
      </c>
      <c r="F58" s="126">
        <v>12.9375</v>
      </c>
    </row>
    <row r="59">
      <c r="A59" s="123">
        <v>58.0</v>
      </c>
      <c r="B59" s="124" t="s">
        <v>565</v>
      </c>
      <c r="C59" s="125">
        <v>11.0</v>
      </c>
      <c r="D59" s="126">
        <v>13.75</v>
      </c>
      <c r="E59" s="127">
        <v>0.15</v>
      </c>
      <c r="F59" s="126">
        <v>15.8125</v>
      </c>
    </row>
    <row r="60">
      <c r="A60" s="123">
        <v>59.0</v>
      </c>
      <c r="B60" s="124" t="s">
        <v>566</v>
      </c>
      <c r="C60" s="125">
        <v>7.0</v>
      </c>
      <c r="D60" s="126">
        <v>8.75</v>
      </c>
      <c r="E60" s="127">
        <v>0.15</v>
      </c>
      <c r="F60" s="126">
        <v>10.0625</v>
      </c>
    </row>
    <row r="61">
      <c r="A61" s="123">
        <v>60.0</v>
      </c>
      <c r="B61" s="124" t="s">
        <v>567</v>
      </c>
      <c r="C61" s="125">
        <v>4.0</v>
      </c>
      <c r="D61" s="126">
        <v>5.0</v>
      </c>
      <c r="E61" s="127">
        <v>0.18</v>
      </c>
      <c r="F61" s="126">
        <v>5.9</v>
      </c>
    </row>
    <row r="62">
      <c r="A62" s="123">
        <v>61.0</v>
      </c>
      <c r="B62" s="124" t="s">
        <v>568</v>
      </c>
      <c r="C62" s="125">
        <v>13.0</v>
      </c>
      <c r="D62" s="126">
        <v>16.25</v>
      </c>
      <c r="E62" s="127">
        <v>0.15</v>
      </c>
      <c r="F62" s="126">
        <v>18.6875</v>
      </c>
    </row>
    <row r="63">
      <c r="A63" s="123">
        <v>62.0</v>
      </c>
      <c r="B63" s="124" t="s">
        <v>569</v>
      </c>
      <c r="C63" s="125">
        <v>19.0</v>
      </c>
      <c r="D63" s="126">
        <v>23.75</v>
      </c>
      <c r="E63" s="127">
        <v>0.15</v>
      </c>
      <c r="F63" s="126">
        <v>27.3125</v>
      </c>
    </row>
    <row r="64">
      <c r="A64" s="123">
        <v>63.0</v>
      </c>
      <c r="B64" s="124" t="s">
        <v>570</v>
      </c>
      <c r="C64" s="125">
        <v>19.0</v>
      </c>
      <c r="D64" s="126">
        <v>23.75</v>
      </c>
      <c r="E64" s="127">
        <v>0.15</v>
      </c>
      <c r="F64" s="126">
        <v>27.3125</v>
      </c>
    </row>
    <row r="65">
      <c r="A65" s="123">
        <v>64.0</v>
      </c>
      <c r="B65" s="124" t="s">
        <v>571</v>
      </c>
      <c r="C65" s="125">
        <v>18.0</v>
      </c>
      <c r="D65" s="126">
        <v>22.5</v>
      </c>
      <c r="E65" s="127">
        <v>0.15</v>
      </c>
      <c r="F65" s="126">
        <v>25.875</v>
      </c>
    </row>
    <row r="66">
      <c r="A66" s="123">
        <v>65.0</v>
      </c>
      <c r="B66" s="124" t="s">
        <v>572</v>
      </c>
      <c r="C66" s="125">
        <v>17.0</v>
      </c>
      <c r="D66" s="126">
        <v>21.25</v>
      </c>
      <c r="E66" s="127">
        <v>0.15</v>
      </c>
      <c r="F66" s="126">
        <v>24.4375</v>
      </c>
    </row>
    <row r="67">
      <c r="A67" s="123">
        <v>66.0</v>
      </c>
      <c r="B67" s="124" t="s">
        <v>573</v>
      </c>
      <c r="C67" s="125">
        <v>19.0</v>
      </c>
      <c r="D67" s="126">
        <v>23.75</v>
      </c>
      <c r="E67" s="127">
        <v>0.18</v>
      </c>
      <c r="F67" s="126">
        <v>28.025</v>
      </c>
    </row>
    <row r="68">
      <c r="A68" s="123">
        <v>67.0</v>
      </c>
      <c r="B68" s="124" t="s">
        <v>574</v>
      </c>
      <c r="C68" s="125">
        <v>14.0</v>
      </c>
      <c r="D68" s="126">
        <v>17.5</v>
      </c>
      <c r="E68" s="127">
        <v>0.15</v>
      </c>
      <c r="F68" s="126">
        <v>20.125</v>
      </c>
    </row>
    <row r="69">
      <c r="A69" s="123">
        <v>68.0</v>
      </c>
      <c r="B69" s="124" t="s">
        <v>575</v>
      </c>
      <c r="C69" s="125">
        <v>20.0</v>
      </c>
      <c r="D69" s="126">
        <v>25.0</v>
      </c>
      <c r="E69" s="127">
        <v>0.15</v>
      </c>
      <c r="F69" s="126">
        <v>28.75</v>
      </c>
    </row>
    <row r="70">
      <c r="A70" s="123">
        <v>69.0</v>
      </c>
      <c r="B70" s="124" t="s">
        <v>576</v>
      </c>
      <c r="C70" s="125">
        <v>7.0</v>
      </c>
      <c r="D70" s="126">
        <v>8.75</v>
      </c>
      <c r="E70" s="127">
        <v>0.18</v>
      </c>
      <c r="F70" s="126">
        <v>10.325</v>
      </c>
    </row>
    <row r="71">
      <c r="A71" s="123">
        <v>70.0</v>
      </c>
      <c r="B71" s="124" t="s">
        <v>577</v>
      </c>
      <c r="C71" s="125">
        <v>15.0</v>
      </c>
      <c r="D71" s="126">
        <v>18.75</v>
      </c>
      <c r="E71" s="127">
        <v>0.15</v>
      </c>
      <c r="F71" s="126">
        <v>21.5625</v>
      </c>
    </row>
    <row r="72">
      <c r="A72" s="123">
        <v>71.0</v>
      </c>
      <c r="B72" s="124" t="s">
        <v>578</v>
      </c>
      <c r="C72" s="125">
        <v>14.0</v>
      </c>
      <c r="D72" s="126">
        <v>17.5</v>
      </c>
      <c r="E72" s="127">
        <v>0.18</v>
      </c>
      <c r="F72" s="126">
        <v>20.65</v>
      </c>
    </row>
    <row r="73">
      <c r="A73" s="123">
        <v>72.0</v>
      </c>
      <c r="B73" s="124" t="s">
        <v>579</v>
      </c>
      <c r="C73" s="125">
        <v>16.0</v>
      </c>
      <c r="D73" s="126">
        <v>20.0</v>
      </c>
      <c r="E73" s="127">
        <v>0.15</v>
      </c>
      <c r="F73" s="126">
        <v>23.0</v>
      </c>
    </row>
    <row r="74">
      <c r="A74" s="123">
        <v>73.0</v>
      </c>
      <c r="B74" s="124" t="s">
        <v>580</v>
      </c>
      <c r="C74" s="125">
        <v>13.0</v>
      </c>
      <c r="D74" s="126">
        <v>16.25</v>
      </c>
      <c r="E74" s="127">
        <v>0.18</v>
      </c>
      <c r="F74" s="126">
        <v>19.175</v>
      </c>
    </row>
    <row r="75">
      <c r="A75" s="123">
        <v>74.0</v>
      </c>
      <c r="B75" s="124" t="s">
        <v>581</v>
      </c>
      <c r="C75" s="125">
        <v>7.0</v>
      </c>
      <c r="D75" s="126">
        <v>8.75</v>
      </c>
      <c r="E75" s="127">
        <v>0.15</v>
      </c>
      <c r="F75" s="126">
        <v>10.0625</v>
      </c>
    </row>
    <row r="76">
      <c r="A76" s="123">
        <v>75.0</v>
      </c>
      <c r="B76" s="124" t="s">
        <v>582</v>
      </c>
      <c r="C76" s="125">
        <v>7.0</v>
      </c>
      <c r="D76" s="126">
        <v>8.75</v>
      </c>
      <c r="E76" s="127">
        <v>0.18</v>
      </c>
      <c r="F76" s="126">
        <v>10.325</v>
      </c>
    </row>
    <row r="77">
      <c r="A77" s="123">
        <v>76.0</v>
      </c>
      <c r="B77" s="124" t="s">
        <v>583</v>
      </c>
      <c r="C77" s="125">
        <v>15.0</v>
      </c>
      <c r="D77" s="126">
        <v>18.75</v>
      </c>
      <c r="E77" s="127">
        <v>0.15</v>
      </c>
      <c r="F77" s="126">
        <v>21.5625</v>
      </c>
    </row>
    <row r="78">
      <c r="A78" s="123">
        <v>77.0</v>
      </c>
      <c r="B78" s="124" t="s">
        <v>584</v>
      </c>
      <c r="C78" s="125">
        <v>14.0</v>
      </c>
      <c r="D78" s="126">
        <v>17.5</v>
      </c>
      <c r="E78" s="127">
        <v>0.18</v>
      </c>
      <c r="F78" s="126">
        <v>20.65</v>
      </c>
    </row>
    <row r="79">
      <c r="A79" s="123">
        <v>78.0</v>
      </c>
      <c r="B79" s="124" t="s">
        <v>585</v>
      </c>
      <c r="C79" s="125">
        <v>15.0</v>
      </c>
      <c r="D79" s="126">
        <v>18.75</v>
      </c>
      <c r="E79" s="127">
        <v>0.15</v>
      </c>
      <c r="F79" s="126">
        <v>21.5625</v>
      </c>
    </row>
    <row r="80">
      <c r="A80" s="123">
        <v>79.0</v>
      </c>
      <c r="B80" s="124" t="s">
        <v>586</v>
      </c>
      <c r="C80" s="125">
        <v>20.0</v>
      </c>
      <c r="D80" s="126">
        <v>25.0</v>
      </c>
      <c r="E80" s="127">
        <v>0.18</v>
      </c>
      <c r="F80" s="126">
        <v>29.5</v>
      </c>
    </row>
    <row r="81">
      <c r="A81" s="123">
        <v>80.0</v>
      </c>
      <c r="B81" s="124" t="s">
        <v>587</v>
      </c>
      <c r="C81" s="125">
        <v>16.0</v>
      </c>
      <c r="D81" s="126">
        <v>20.0</v>
      </c>
      <c r="E81" s="127">
        <v>0.15</v>
      </c>
      <c r="F81" s="126">
        <v>23.0</v>
      </c>
    </row>
    <row r="82">
      <c r="A82" s="123">
        <v>81.0</v>
      </c>
      <c r="B82" s="124" t="s">
        <v>588</v>
      </c>
      <c r="C82" s="125">
        <v>17.0</v>
      </c>
      <c r="D82" s="126">
        <v>21.25</v>
      </c>
      <c r="E82" s="127">
        <v>0.18</v>
      </c>
      <c r="F82" s="126">
        <v>25.075</v>
      </c>
    </row>
    <row r="83">
      <c r="A83" s="123">
        <v>82.0</v>
      </c>
      <c r="B83" s="124" t="s">
        <v>589</v>
      </c>
      <c r="C83" s="125">
        <v>13.0</v>
      </c>
      <c r="D83" s="126">
        <v>16.25</v>
      </c>
      <c r="E83" s="127">
        <v>0.18</v>
      </c>
      <c r="F83" s="126">
        <v>19.175</v>
      </c>
    </row>
    <row r="84">
      <c r="A84" s="123">
        <v>83.0</v>
      </c>
      <c r="B84" s="124" t="s">
        <v>590</v>
      </c>
      <c r="C84" s="125">
        <v>4.0</v>
      </c>
      <c r="D84" s="126">
        <v>5.0</v>
      </c>
      <c r="E84" s="127">
        <v>0.18</v>
      </c>
      <c r="F84" s="126">
        <v>5.9</v>
      </c>
      <c r="M84" s="130"/>
    </row>
    <row r="85">
      <c r="A85" s="123">
        <v>84.0</v>
      </c>
      <c r="B85" s="124" t="s">
        <v>591</v>
      </c>
      <c r="C85" s="125">
        <v>17.0</v>
      </c>
      <c r="D85" s="126">
        <v>21.25</v>
      </c>
      <c r="E85" s="127">
        <v>0.18</v>
      </c>
      <c r="F85" s="126">
        <v>25.075</v>
      </c>
      <c r="M85" s="130"/>
    </row>
    <row r="86">
      <c r="A86" s="123">
        <v>85.0</v>
      </c>
      <c r="B86" s="124" t="s">
        <v>592</v>
      </c>
      <c r="C86" s="125">
        <v>7.0</v>
      </c>
      <c r="D86" s="126">
        <v>8.75</v>
      </c>
      <c r="E86" s="127">
        <v>0.18</v>
      </c>
      <c r="F86" s="126">
        <v>10.325</v>
      </c>
      <c r="M86" s="130"/>
    </row>
    <row r="87">
      <c r="A87" s="123">
        <v>86.0</v>
      </c>
      <c r="B87" s="124" t="s">
        <v>593</v>
      </c>
      <c r="C87" s="125">
        <v>6.0</v>
      </c>
      <c r="D87" s="126">
        <v>7.5</v>
      </c>
      <c r="E87" s="127">
        <v>0.18</v>
      </c>
      <c r="F87" s="126">
        <v>8.85</v>
      </c>
      <c r="M87" s="130"/>
    </row>
    <row r="88">
      <c r="A88" s="123">
        <v>87.0</v>
      </c>
      <c r="B88" s="124" t="s">
        <v>594</v>
      </c>
      <c r="C88" s="125">
        <v>12.0</v>
      </c>
      <c r="D88" s="126">
        <v>15.0</v>
      </c>
      <c r="E88" s="127">
        <v>0.15</v>
      </c>
      <c r="F88" s="126">
        <v>17.25</v>
      </c>
    </row>
    <row r="89">
      <c r="A89" s="123">
        <v>88.0</v>
      </c>
      <c r="B89" s="124" t="s">
        <v>595</v>
      </c>
      <c r="C89" s="125">
        <v>6.0</v>
      </c>
      <c r="D89" s="126">
        <v>7.5</v>
      </c>
      <c r="E89" s="127">
        <v>0.15</v>
      </c>
      <c r="F89" s="126">
        <v>8.625</v>
      </c>
    </row>
    <row r="90">
      <c r="A90" s="123">
        <v>89.0</v>
      </c>
      <c r="B90" s="124" t="s">
        <v>596</v>
      </c>
      <c r="C90" s="125">
        <v>17.0</v>
      </c>
      <c r="D90" s="126">
        <v>21.25</v>
      </c>
      <c r="E90" s="127">
        <v>0.15</v>
      </c>
      <c r="F90" s="126">
        <v>24.4375</v>
      </c>
    </row>
    <row r="91">
      <c r="A91" s="123">
        <v>90.0</v>
      </c>
      <c r="B91" s="124" t="s">
        <v>597</v>
      </c>
      <c r="C91" s="125">
        <v>5.0</v>
      </c>
      <c r="D91" s="126">
        <v>6.25</v>
      </c>
      <c r="E91" s="127">
        <v>0.15</v>
      </c>
      <c r="F91" s="126">
        <v>7.1875</v>
      </c>
    </row>
    <row r="92">
      <c r="A92" s="123">
        <v>91.0</v>
      </c>
      <c r="B92" s="124" t="s">
        <v>598</v>
      </c>
      <c r="C92" s="125">
        <v>8.0</v>
      </c>
      <c r="D92" s="126">
        <v>10.0</v>
      </c>
      <c r="E92" s="127">
        <v>0.15</v>
      </c>
      <c r="F92" s="126">
        <v>11.5</v>
      </c>
    </row>
    <row r="93">
      <c r="A93" s="123">
        <v>92.0</v>
      </c>
      <c r="B93" s="124" t="s">
        <v>599</v>
      </c>
      <c r="C93" s="125">
        <v>12.0</v>
      </c>
      <c r="D93" s="126">
        <v>15.0</v>
      </c>
      <c r="E93" s="127">
        <v>0.15</v>
      </c>
      <c r="F93" s="126">
        <v>17.25</v>
      </c>
    </row>
    <row r="94">
      <c r="A94" s="123">
        <v>93.0</v>
      </c>
      <c r="B94" s="124" t="s">
        <v>600</v>
      </c>
      <c r="C94" s="125">
        <v>8.0</v>
      </c>
      <c r="D94" s="126">
        <v>10.0</v>
      </c>
      <c r="E94" s="127">
        <v>0.15</v>
      </c>
      <c r="F94" s="126">
        <v>11.5</v>
      </c>
    </row>
    <row r="95">
      <c r="A95" s="123">
        <v>94.0</v>
      </c>
      <c r="B95" s="124" t="s">
        <v>601</v>
      </c>
      <c r="C95" s="125">
        <v>7.0</v>
      </c>
      <c r="D95" s="126">
        <v>8.75</v>
      </c>
      <c r="E95" s="127">
        <v>0.18</v>
      </c>
      <c r="F95" s="126">
        <v>10.325</v>
      </c>
    </row>
    <row r="96">
      <c r="A96" s="123">
        <v>95.0</v>
      </c>
      <c r="B96" s="124" t="s">
        <v>602</v>
      </c>
      <c r="C96" s="125">
        <v>6.0</v>
      </c>
      <c r="D96" s="126">
        <v>7.5</v>
      </c>
      <c r="E96" s="127">
        <v>0.18</v>
      </c>
      <c r="F96" s="126">
        <v>8.85</v>
      </c>
    </row>
    <row r="97">
      <c r="A97" s="123">
        <v>96.0</v>
      </c>
      <c r="B97" s="124" t="s">
        <v>603</v>
      </c>
      <c r="C97" s="125">
        <v>13.0</v>
      </c>
      <c r="D97" s="126">
        <v>16.25</v>
      </c>
      <c r="E97" s="127">
        <v>0.15</v>
      </c>
      <c r="F97" s="126">
        <v>18.6875</v>
      </c>
    </row>
    <row r="98">
      <c r="A98" s="123">
        <v>97.0</v>
      </c>
      <c r="B98" s="124" t="s">
        <v>604</v>
      </c>
      <c r="C98" s="125">
        <v>20.0</v>
      </c>
      <c r="D98" s="126">
        <v>25.0</v>
      </c>
      <c r="E98" s="127">
        <v>0.15</v>
      </c>
      <c r="F98" s="126">
        <v>28.75</v>
      </c>
    </row>
    <row r="99">
      <c r="A99" s="123">
        <v>98.0</v>
      </c>
      <c r="B99" s="124" t="s">
        <v>605</v>
      </c>
      <c r="C99" s="125">
        <v>6.0</v>
      </c>
      <c r="D99" s="126">
        <v>7.5</v>
      </c>
      <c r="E99" s="127">
        <v>0.15</v>
      </c>
      <c r="F99" s="126">
        <v>8.625</v>
      </c>
    </row>
    <row r="100">
      <c r="A100" s="123">
        <v>99.0</v>
      </c>
      <c r="B100" s="124" t="s">
        <v>606</v>
      </c>
      <c r="C100" s="125">
        <v>18.0</v>
      </c>
      <c r="D100" s="126">
        <v>22.5</v>
      </c>
      <c r="E100" s="127">
        <v>0.15</v>
      </c>
      <c r="F100" s="126">
        <v>25.875</v>
      </c>
    </row>
    <row r="101">
      <c r="A101" s="123">
        <v>100.0</v>
      </c>
      <c r="B101" s="124" t="s">
        <v>607</v>
      </c>
      <c r="C101" s="125">
        <v>19.0</v>
      </c>
      <c r="D101" s="126">
        <v>23.75</v>
      </c>
      <c r="E101" s="127">
        <v>0.15</v>
      </c>
      <c r="F101" s="126">
        <v>27.3125</v>
      </c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  <row r="988">
      <c r="C988" s="125"/>
    </row>
    <row r="989">
      <c r="C989" s="125"/>
    </row>
    <row r="990">
      <c r="C990" s="125"/>
    </row>
    <row r="991">
      <c r="C991" s="125"/>
    </row>
    <row r="992">
      <c r="C992" s="125"/>
    </row>
    <row r="993">
      <c r="C993" s="125"/>
    </row>
    <row r="994">
      <c r="C994" s="125"/>
    </row>
    <row r="995">
      <c r="C995" s="125"/>
    </row>
    <row r="996">
      <c r="C996" s="125"/>
    </row>
    <row r="997">
      <c r="C997" s="125"/>
    </row>
    <row r="998">
      <c r="C998" s="125"/>
    </row>
    <row r="999">
      <c r="C999" s="125"/>
    </row>
    <row r="1000">
      <c r="C1000" s="125"/>
    </row>
  </sheetData>
  <drawing r:id="rId1"/>
</worksheet>
</file>